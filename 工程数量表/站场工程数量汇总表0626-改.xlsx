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1.沿既有通道双单线" sheetId="2" r:id="rId1"/>
    <sheet name="2.新开通道双单线" sheetId="3" r:id="rId2"/>
    <sheet name="3.复线电气化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<sst xmlns="http://schemas.openxmlformats.org/spreadsheetml/2006/main" count="606" uniqueCount="155">
  <si>
    <t>金温铁路预可研站场工程数量汇总表</t>
  </si>
  <si>
    <t>段落</t>
  </si>
  <si>
    <t>金华-永康东</t>
  </si>
  <si>
    <t>车站</t>
  </si>
  <si>
    <t>江岭</t>
  </si>
  <si>
    <t>履坦</t>
  </si>
  <si>
    <t>武义</t>
  </si>
  <si>
    <t>武义东</t>
  </si>
  <si>
    <t>武义东货场</t>
  </si>
  <si>
    <t>永康南</t>
  </si>
  <si>
    <t>永康东</t>
  </si>
  <si>
    <t>汇总</t>
  </si>
  <si>
    <t>项目</t>
  </si>
  <si>
    <t>单位</t>
  </si>
  <si>
    <t>一、拆迁征地</t>
  </si>
  <si>
    <t>占用既有铁路用地</t>
  </si>
  <si>
    <t>亩</t>
  </si>
  <si>
    <t>新增用地</t>
  </si>
  <si>
    <t>水田</t>
  </si>
  <si>
    <t>旱地</t>
  </si>
  <si>
    <t>宅基地</t>
  </si>
  <si>
    <t>建设用地</t>
  </si>
  <si>
    <t>林地</t>
  </si>
  <si>
    <t>合计</t>
  </si>
  <si>
    <t>临时用地</t>
  </si>
  <si>
    <t>荒地</t>
  </si>
  <si>
    <t>拆迁房屋</t>
  </si>
  <si>
    <t>路内</t>
  </si>
  <si>
    <r>
      <rPr>
        <sz val="10"/>
        <rFont val="宋体"/>
        <charset val="134"/>
        <scheme val="minor"/>
      </rPr>
      <t>m</t>
    </r>
    <r>
      <rPr>
        <vertAlign val="superscript"/>
        <sz val="10"/>
        <rFont val="宋体"/>
        <charset val="134"/>
        <scheme val="minor"/>
      </rPr>
      <t>2</t>
    </r>
  </si>
  <si>
    <t>路外</t>
  </si>
  <si>
    <t>改移道路</t>
  </si>
  <si>
    <t>长度</t>
  </si>
  <si>
    <t>m</t>
  </si>
  <si>
    <t xml:space="preserve">混凝土道路
</t>
  </si>
  <si>
    <t>硬化面</t>
  </si>
  <si>
    <t>m3</t>
  </si>
  <si>
    <t>填方</t>
  </si>
  <si>
    <t>挖方</t>
  </si>
  <si>
    <t>改移沟渠</t>
  </si>
  <si>
    <t>C30混凝土</t>
  </si>
  <si>
    <t>拆除圬工</t>
  </si>
  <si>
    <t>砍树</t>
  </si>
  <si>
    <t>棵</t>
  </si>
  <si>
    <t>二、轨道工程</t>
  </si>
  <si>
    <t>铺轨铺岔</t>
  </si>
  <si>
    <t>新铺无缝轨道</t>
  </si>
  <si>
    <t>P60</t>
  </si>
  <si>
    <t>1667根/kmIII型砼枕</t>
  </si>
  <si>
    <t>1760根/km新Ⅱ型砼枕</t>
  </si>
  <si>
    <t>新铺有缝轨道</t>
  </si>
  <si>
    <t>1680根/km新Ⅱ型砼枕</t>
  </si>
  <si>
    <t>1520根/km新Ⅱ型砼枕</t>
  </si>
  <si>
    <t>P50</t>
  </si>
  <si>
    <t>双侧护轮轨</t>
  </si>
  <si>
    <t>异形轨</t>
  </si>
  <si>
    <t>P60-P50</t>
  </si>
  <si>
    <t>12.5m长</t>
  </si>
  <si>
    <t>对</t>
  </si>
  <si>
    <t>拆除轨道</t>
  </si>
  <si>
    <t>拨道</t>
  </si>
  <si>
    <t>新铺道岔</t>
  </si>
  <si>
    <t>18号 单开</t>
  </si>
  <si>
    <t>研线1302</t>
  </si>
  <si>
    <t>组</t>
  </si>
  <si>
    <t>12号 单开</t>
  </si>
  <si>
    <t>研线16122</t>
  </si>
  <si>
    <t>P60交渡-5m</t>
  </si>
  <si>
    <t>研线16121</t>
  </si>
  <si>
    <t>9号 单开</t>
  </si>
  <si>
    <t>研线1609</t>
  </si>
  <si>
    <t>拆除道岔</t>
  </si>
  <si>
    <t>P60-18号</t>
  </si>
  <si>
    <t>P60-12号</t>
  </si>
  <si>
    <t>P50-9号</t>
  </si>
  <si>
    <t>清除道砟（运至25km以外）</t>
  </si>
  <si>
    <t>铺碴</t>
  </si>
  <si>
    <t>道碴</t>
  </si>
  <si>
    <r>
      <rPr>
        <sz val="10"/>
        <rFont val="宋体"/>
        <charset val="134"/>
        <scheme val="minor"/>
      </rPr>
      <t>m</t>
    </r>
    <r>
      <rPr>
        <vertAlign val="superscript"/>
        <sz val="10"/>
        <rFont val="宋体"/>
        <charset val="134"/>
        <scheme val="minor"/>
      </rPr>
      <t>3</t>
    </r>
  </si>
  <si>
    <t>洼陇填碴</t>
  </si>
  <si>
    <t>顺坡道碴</t>
  </si>
  <si>
    <t>回填道砟</t>
  </si>
  <si>
    <t>线路相关工程</t>
  </si>
  <si>
    <t>车档及挡车器</t>
  </si>
  <si>
    <t>库外  LCD固定式车档+CDH-D1滑移式挡车器</t>
  </si>
  <si>
    <t>台</t>
  </si>
  <si>
    <t>库内  CDH-YG 液压固定式车挡</t>
  </si>
  <si>
    <t>安全防护围墙</t>
  </si>
  <si>
    <t>H-2.2m+0.5m刺丝滚笼</t>
  </si>
  <si>
    <t>延米</t>
  </si>
  <si>
    <t>防护栅栏</t>
  </si>
  <si>
    <t>H-2.2m+0.5m刺丝滚笼（钢筋混凝土）</t>
  </si>
  <si>
    <t>跨线设备</t>
  </si>
  <si>
    <t>混凝土道口板</t>
  </si>
  <si>
    <t>线间走行板</t>
  </si>
  <si>
    <t>混凝土轨道板</t>
  </si>
  <si>
    <t>通站道路</t>
  </si>
  <si>
    <t>7m宽混凝土道路</t>
  </si>
  <si>
    <t>工区/货场</t>
  </si>
  <si>
    <t>硬化面（面层C35混凝土厚30cm、基层5%水泥稳定层厚30cm、垫层级配碎石厚20cm）</t>
  </si>
  <si>
    <t>货场道路（15m宽混凝土道路）</t>
  </si>
  <si>
    <t>三、路基工程</t>
  </si>
  <si>
    <t>铁路排水</t>
  </si>
  <si>
    <t>纵向</t>
  </si>
  <si>
    <t>碴底式（C30钢筋混凝土）b=0.6m，h=1.3m</t>
  </si>
  <si>
    <t>横向</t>
  </si>
  <si>
    <t>b=0.6m，h=2.0m</t>
  </si>
  <si>
    <t>公路排水沟</t>
  </si>
  <si>
    <t>（C20混凝土）b=0.4m，h=1.0m</t>
  </si>
  <si>
    <t>路基排水沟</t>
  </si>
  <si>
    <t>侧沟，矩形，厚0.2m，b=0.6m，H=1.0m，C25钢筋混凝土</t>
  </si>
  <si>
    <t>天沟，梯形，厚0.2m，b=0.4m，H=0.8m，C25混凝土现浇</t>
  </si>
  <si>
    <t>排水沟，梯形，厚0.2m，b=0.4m，H=0.8m，C25混凝土现浇</t>
  </si>
  <si>
    <t>路堤</t>
  </si>
  <si>
    <t>表层</t>
  </si>
  <si>
    <t>A组填料</t>
  </si>
  <si>
    <t>底层</t>
  </si>
  <si>
    <t>A,B组填料</t>
  </si>
  <si>
    <t>本体</t>
  </si>
  <si>
    <t>C组填料</t>
  </si>
  <si>
    <t>清基回填</t>
  </si>
  <si>
    <t>填方小计</t>
  </si>
  <si>
    <t>路堑</t>
  </si>
  <si>
    <t>挖土</t>
  </si>
  <si>
    <t>挖石</t>
  </si>
  <si>
    <t>清表</t>
  </si>
  <si>
    <t>挖方小计</t>
  </si>
  <si>
    <t>挖台阶</t>
  </si>
  <si>
    <t>水塘处理</t>
  </si>
  <si>
    <t>抽水</t>
  </si>
  <si>
    <t>清淤</t>
  </si>
  <si>
    <t>四、过渡及备料</t>
  </si>
  <si>
    <t>过渡工程</t>
  </si>
  <si>
    <t>土方</t>
  </si>
  <si>
    <t>新铺轨道</t>
  </si>
  <si>
    <t>补充道碴</t>
  </si>
  <si>
    <t>道岔</t>
  </si>
  <si>
    <t>备料</t>
  </si>
  <si>
    <t>钢轨</t>
  </si>
  <si>
    <t>钢轨 P60Kg/m 25m轨</t>
  </si>
  <si>
    <t>根</t>
  </si>
  <si>
    <t>钢轨 P50Kg/m 25m轨</t>
  </si>
  <si>
    <t>12.5m及以下钢轨</t>
  </si>
  <si>
    <t>个</t>
  </si>
  <si>
    <t>钢轨接头配件</t>
  </si>
  <si>
    <t>接头螺栓及垫圈</t>
  </si>
  <si>
    <t>交渡</t>
  </si>
  <si>
    <t>新Ⅱ型砼枕</t>
  </si>
  <si>
    <t>Ⅲ型砼枕</t>
  </si>
  <si>
    <t>扣件</t>
  </si>
  <si>
    <t xml:space="preserve">岔枕 </t>
  </si>
  <si>
    <t>新履坦</t>
  </si>
  <si>
    <t>新武义</t>
  </si>
  <si>
    <r>
      <rPr>
        <sz val="10"/>
        <color theme="1"/>
        <rFont val="宋体"/>
        <charset val="134"/>
        <scheme val="minor"/>
      </rPr>
      <t>m</t>
    </r>
    <r>
      <rPr>
        <vertAlign val="superscript"/>
        <sz val="10"/>
        <color theme="1"/>
        <rFont val="宋体"/>
        <charset val="134"/>
        <scheme val="minor"/>
      </rPr>
      <t>2</t>
    </r>
  </si>
  <si>
    <r>
      <rPr>
        <sz val="10"/>
        <color theme="1"/>
        <rFont val="宋体"/>
        <charset val="134"/>
        <scheme val="minor"/>
      </rPr>
      <t>P60-</t>
    </r>
    <r>
      <rPr>
        <sz val="10"/>
        <color theme="1"/>
        <rFont val="宋体"/>
        <charset val="134"/>
        <scheme val="minor"/>
      </rPr>
      <t>18</t>
    </r>
    <r>
      <rPr>
        <sz val="10"/>
        <color theme="1"/>
        <rFont val="宋体"/>
        <charset val="134"/>
        <scheme val="minor"/>
      </rPr>
      <t>号</t>
    </r>
  </si>
  <si>
    <r>
      <rPr>
        <sz val="10"/>
        <color theme="1"/>
        <rFont val="宋体"/>
        <charset val="134"/>
        <scheme val="minor"/>
      </rPr>
      <t>m</t>
    </r>
    <r>
      <rPr>
        <vertAlign val="superscript"/>
        <sz val="10"/>
        <color theme="1"/>
        <rFont val="宋体"/>
        <charset val="13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</si>
</sst>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</numFmts>
  <fonts count="4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0"/>
      <color theme="1"/>
      <name val="宋体"/>
      <charset val="134"/>
      <scheme val="major"/>
    </font>
    <font>
      <sz val="10"/>
      <name val="宋体"/>
      <charset val="134"/>
      <scheme val="major"/>
    </font>
    <font>
      <sz val="11"/>
      <name val="宋体"/>
      <charset val="134"/>
      <scheme val="maj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vertAlign val="superscript"/>
      <sz val="10"/>
      <color theme="1"/>
      <name val="宋体"/>
      <charset val="134"/>
      <scheme val="minor"/>
    </font>
    <font>
      <vertAlign val="superscript"/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1" applyNumberFormat="0" applyAlignment="0" applyProtection="0">
      <alignment vertical="center"/>
    </xf>
    <xf numFmtId="0" fontId="32" fillId="4" borderId="12" applyNumberFormat="0" applyAlignment="0" applyProtection="0">
      <alignment vertical="center"/>
    </xf>
    <xf numFmtId="0" fontId="33" fillId="4" borderId="11" applyNumberFormat="0" applyAlignment="0" applyProtection="0">
      <alignment vertical="center"/>
    </xf>
    <xf numFmtId="0" fontId="34" fillId="5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5" fillId="0" borderId="4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vertical="center"/>
    </xf>
    <xf numFmtId="0" fontId="6" fillId="0" borderId="4" xfId="0" applyFont="1" applyFill="1" applyBorder="1" applyAlignment="1" applyProtection="1">
      <alignment horizontal="center" vertical="center"/>
    </xf>
    <xf numFmtId="176" fontId="5" fillId="0" borderId="4" xfId="0" applyNumberFormat="1" applyFont="1" applyFill="1" applyBorder="1" applyAlignment="1" applyProtection="1">
      <alignment horizontal="center" vertical="center" wrapText="1"/>
    </xf>
    <xf numFmtId="176" fontId="3" fillId="0" borderId="4" xfId="0" applyNumberFormat="1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1" fillId="0" borderId="4" xfId="0" applyFont="1" applyFill="1" applyBorder="1" applyAlignment="1" applyProtection="1">
      <alignment vertical="center"/>
    </xf>
    <xf numFmtId="0" fontId="12" fillId="0" borderId="4" xfId="0" applyFont="1" applyFill="1" applyBorder="1" applyAlignment="1" applyProtection="1">
      <alignment vertical="center"/>
    </xf>
    <xf numFmtId="0" fontId="3" fillId="0" borderId="5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</xf>
    <xf numFmtId="177" fontId="6" fillId="0" borderId="4" xfId="49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 applyProtection="1">
      <alignment vertical="center"/>
    </xf>
    <xf numFmtId="0" fontId="16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0" fillId="0" borderId="4" xfId="0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</xf>
    <xf numFmtId="0" fontId="19" fillId="0" borderId="4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1" fillId="0" borderId="4" xfId="0" applyFont="1" applyFill="1" applyBorder="1" applyAlignment="1" applyProtection="1">
      <alignment horizontal="center" vertical="center" wrapText="1"/>
    </xf>
    <xf numFmtId="176" fontId="21" fillId="0" borderId="4" xfId="0" applyNumberFormat="1" applyFont="1" applyFill="1" applyBorder="1" applyAlignment="1" applyProtection="1">
      <alignment horizontal="center" vertical="center" wrapText="1"/>
    </xf>
    <xf numFmtId="176" fontId="6" fillId="0" borderId="4" xfId="0" applyNumberFormat="1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 vertical="center"/>
    </xf>
    <xf numFmtId="0" fontId="6" fillId="0" borderId="6" xfId="0" applyFont="1" applyFill="1" applyBorder="1" applyAlignment="1" applyProtection="1">
      <alignment horizontal="center" vertical="center"/>
    </xf>
    <xf numFmtId="0" fontId="20" fillId="0" borderId="4" xfId="0" applyFont="1" applyFill="1" applyBorder="1" applyAlignment="1">
      <alignment vertical="center"/>
    </xf>
    <xf numFmtId="0" fontId="22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 applyProtection="1">
      <alignment vertical="center"/>
    </xf>
    <xf numFmtId="0" fontId="20" fillId="0" borderId="4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zoomScale="130" zoomScaleNormal="130" workbookViewId="0">
      <pane xSplit="7" topLeftCell="H1" activePane="topRight" state="frozen"/>
      <selection/>
      <selection pane="topRight" activeCell="H3" sqref="H$1:N$1048576"/>
    </sheetView>
  </sheetViews>
  <sheetFormatPr defaultColWidth="9" defaultRowHeight="13.5"/>
  <cols>
    <col min="1" max="2" width="9" style="1"/>
    <col min="3" max="3" width="11.25" style="1" customWidth="1"/>
    <col min="4" max="5" width="9" style="1"/>
    <col min="6" max="6" width="15.375" style="1" customWidth="1"/>
    <col min="7" max="7" width="9" style="1"/>
    <col min="8" max="11" width="9" style="1" hidden="1" customWidth="1"/>
    <col min="12" max="12" width="14.125" style="1" hidden="1" customWidth="1"/>
    <col min="13" max="14" width="9" style="1" hidden="1" customWidth="1"/>
    <col min="15" max="16384" width="9" style="1"/>
  </cols>
  <sheetData>
    <row r="1" ht="14.25" spans="1:1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ht="14.25" spans="1:15">
      <c r="A2" s="54" t="s">
        <v>1</v>
      </c>
      <c r="B2" s="15"/>
      <c r="C2" s="15"/>
      <c r="D2" s="15"/>
      <c r="E2" s="15"/>
      <c r="F2" s="15"/>
      <c r="G2" s="15"/>
      <c r="H2" s="55" t="s">
        <v>2</v>
      </c>
      <c r="I2" s="55"/>
      <c r="J2" s="55"/>
      <c r="K2" s="55"/>
      <c r="L2" s="55"/>
      <c r="M2" s="55"/>
      <c r="N2" s="55"/>
      <c r="O2" s="55"/>
    </row>
    <row r="3" ht="14.25" spans="1:15">
      <c r="A3" s="54" t="s">
        <v>3</v>
      </c>
      <c r="B3" s="15"/>
      <c r="C3" s="15"/>
      <c r="D3" s="15"/>
      <c r="E3" s="15"/>
      <c r="F3" s="15"/>
      <c r="G3" s="15"/>
      <c r="H3" s="56" t="s">
        <v>4</v>
      </c>
      <c r="I3" s="38" t="s">
        <v>5</v>
      </c>
      <c r="J3" s="56" t="s">
        <v>6</v>
      </c>
      <c r="K3" s="56" t="s">
        <v>7</v>
      </c>
      <c r="L3" s="57" t="s">
        <v>8</v>
      </c>
      <c r="M3" s="56" t="s">
        <v>9</v>
      </c>
      <c r="N3" s="56" t="s">
        <v>10</v>
      </c>
      <c r="O3" s="56" t="s">
        <v>11</v>
      </c>
    </row>
    <row r="4" ht="14.25" spans="1:15">
      <c r="A4" s="54" t="s">
        <v>12</v>
      </c>
      <c r="B4" s="15"/>
      <c r="C4" s="15"/>
      <c r="D4" s="15"/>
      <c r="E4" s="15"/>
      <c r="F4" s="15"/>
      <c r="G4" s="15" t="s">
        <v>13</v>
      </c>
      <c r="H4" s="56"/>
      <c r="I4" s="56"/>
      <c r="J4" s="56"/>
      <c r="K4" s="56"/>
      <c r="L4" s="58"/>
      <c r="M4" s="56"/>
      <c r="N4" s="56"/>
      <c r="O4" s="56"/>
    </row>
    <row r="5" spans="1:15">
      <c r="A5" s="59" t="s">
        <v>14</v>
      </c>
      <c r="B5" s="15" t="s">
        <v>15</v>
      </c>
      <c r="C5" s="15"/>
      <c r="D5" s="15"/>
      <c r="E5" s="15"/>
      <c r="F5" s="15"/>
      <c r="G5" s="15" t="s">
        <v>16</v>
      </c>
      <c r="H5" s="14"/>
      <c r="I5" s="15"/>
      <c r="J5" s="15"/>
      <c r="K5" s="15"/>
      <c r="L5" s="15"/>
      <c r="M5" s="15"/>
      <c r="N5" s="15"/>
      <c r="O5" s="15">
        <f t="shared" ref="O5:O68" si="0">SUM(H5:N5)</f>
        <v>0</v>
      </c>
    </row>
    <row r="6" spans="1:15">
      <c r="A6" s="59"/>
      <c r="B6" s="15" t="s">
        <v>17</v>
      </c>
      <c r="C6" s="15" t="s">
        <v>18</v>
      </c>
      <c r="D6" s="15"/>
      <c r="E6" s="15"/>
      <c r="F6" s="15"/>
      <c r="G6" s="15"/>
      <c r="H6" s="15">
        <v>24</v>
      </c>
      <c r="I6" s="15">
        <v>55</v>
      </c>
      <c r="J6" s="15">
        <v>11</v>
      </c>
      <c r="K6" s="15">
        <v>66</v>
      </c>
      <c r="L6" s="15">
        <v>276</v>
      </c>
      <c r="M6" s="15">
        <v>33</v>
      </c>
      <c r="N6" s="15"/>
      <c r="O6" s="15">
        <f t="shared" si="0"/>
        <v>465</v>
      </c>
    </row>
    <row r="7" spans="1:15">
      <c r="A7" s="59"/>
      <c r="B7" s="15"/>
      <c r="C7" s="15" t="s">
        <v>19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>
        <f t="shared" si="0"/>
        <v>0</v>
      </c>
    </row>
    <row r="8" spans="1:15">
      <c r="A8" s="59"/>
      <c r="B8" s="15"/>
      <c r="C8" s="15" t="s">
        <v>20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>
        <f t="shared" si="0"/>
        <v>0</v>
      </c>
    </row>
    <row r="9" spans="1:15">
      <c r="A9" s="59"/>
      <c r="B9" s="15"/>
      <c r="C9" s="15" t="s">
        <v>21</v>
      </c>
      <c r="D9" s="15"/>
      <c r="E9" s="15"/>
      <c r="F9" s="15"/>
      <c r="G9" s="15"/>
      <c r="H9" s="15"/>
      <c r="I9" s="15"/>
      <c r="J9" s="15">
        <v>48</v>
      </c>
      <c r="K9" s="15"/>
      <c r="L9" s="15"/>
      <c r="M9" s="15"/>
      <c r="N9" s="15"/>
      <c r="O9" s="15">
        <f t="shared" si="0"/>
        <v>48</v>
      </c>
    </row>
    <row r="10" spans="1:15">
      <c r="A10" s="59"/>
      <c r="B10" s="15"/>
      <c r="C10" s="15" t="s">
        <v>22</v>
      </c>
      <c r="D10" s="15"/>
      <c r="E10" s="15"/>
      <c r="F10" s="15"/>
      <c r="G10" s="15"/>
      <c r="H10" s="15"/>
      <c r="I10" s="15"/>
      <c r="J10" s="15"/>
      <c r="K10" s="15"/>
      <c r="L10" s="15">
        <v>90</v>
      </c>
      <c r="M10" s="15">
        <v>9</v>
      </c>
      <c r="N10" s="15">
        <v>6</v>
      </c>
      <c r="O10" s="15">
        <f t="shared" si="0"/>
        <v>105</v>
      </c>
    </row>
    <row r="11" spans="1:15">
      <c r="A11" s="60"/>
      <c r="B11" s="61"/>
      <c r="C11" s="61" t="s">
        <v>23</v>
      </c>
      <c r="D11" s="61"/>
      <c r="E11" s="61"/>
      <c r="F11" s="61"/>
      <c r="G11" s="61"/>
      <c r="H11" s="15">
        <v>24</v>
      </c>
      <c r="I11" s="15">
        <v>55</v>
      </c>
      <c r="J11" s="15">
        <v>59</v>
      </c>
      <c r="K11" s="15">
        <v>66</v>
      </c>
      <c r="L11" s="15">
        <v>356</v>
      </c>
      <c r="M11" s="15">
        <v>42</v>
      </c>
      <c r="N11" s="15">
        <v>6</v>
      </c>
      <c r="O11" s="15">
        <f t="shared" si="0"/>
        <v>608</v>
      </c>
    </row>
    <row r="12" spans="1:15">
      <c r="A12" s="59"/>
      <c r="B12" s="15" t="s">
        <v>24</v>
      </c>
      <c r="C12" s="15" t="s">
        <v>25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>
        <f t="shared" si="0"/>
        <v>0</v>
      </c>
    </row>
    <row r="13" spans="1:15">
      <c r="A13" s="59"/>
      <c r="B13" s="15"/>
      <c r="C13" s="15" t="s">
        <v>23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>
        <f t="shared" si="0"/>
        <v>0</v>
      </c>
    </row>
    <row r="14" spans="1:15">
      <c r="A14" s="59"/>
      <c r="B14" s="15" t="s">
        <v>26</v>
      </c>
      <c r="C14" s="15" t="s">
        <v>27</v>
      </c>
      <c r="D14" s="15"/>
      <c r="E14" s="15"/>
      <c r="F14" s="15"/>
      <c r="G14" s="15" t="s">
        <v>28</v>
      </c>
      <c r="H14" s="15"/>
      <c r="I14" s="15">
        <v>1248</v>
      </c>
      <c r="J14" s="15">
        <v>7742</v>
      </c>
      <c r="K14" s="15">
        <v>1600</v>
      </c>
      <c r="L14" s="15"/>
      <c r="M14" s="15"/>
      <c r="N14" s="15"/>
      <c r="O14" s="15">
        <f t="shared" si="0"/>
        <v>10590</v>
      </c>
    </row>
    <row r="15" spans="1:15">
      <c r="A15" s="59"/>
      <c r="B15" s="15"/>
      <c r="C15" s="15" t="s">
        <v>29</v>
      </c>
      <c r="D15" s="15"/>
      <c r="E15" s="15"/>
      <c r="F15" s="15"/>
      <c r="G15" s="15"/>
      <c r="H15" s="15"/>
      <c r="I15" s="15"/>
      <c r="J15" s="15">
        <v>7950</v>
      </c>
      <c r="K15" s="15">
        <v>876</v>
      </c>
      <c r="L15" s="15"/>
      <c r="M15" s="15">
        <v>4500</v>
      </c>
      <c r="N15" s="15">
        <v>1200</v>
      </c>
      <c r="O15" s="15">
        <f t="shared" si="0"/>
        <v>14526</v>
      </c>
    </row>
    <row r="16" spans="1:15">
      <c r="A16" s="59"/>
      <c r="B16" s="62" t="s">
        <v>30</v>
      </c>
      <c r="C16" s="15" t="s">
        <v>31</v>
      </c>
      <c r="D16" s="15"/>
      <c r="E16" s="15"/>
      <c r="F16" s="15"/>
      <c r="G16" s="15" t="s">
        <v>32</v>
      </c>
      <c r="H16" s="15"/>
      <c r="I16" s="15">
        <v>200</v>
      </c>
      <c r="J16" s="15">
        <v>300</v>
      </c>
      <c r="K16" s="15">
        <v>100</v>
      </c>
      <c r="L16" s="15">
        <v>300</v>
      </c>
      <c r="M16" s="15">
        <v>150</v>
      </c>
      <c r="N16" s="15">
        <v>100</v>
      </c>
      <c r="O16" s="15">
        <f t="shared" si="0"/>
        <v>1150</v>
      </c>
    </row>
    <row r="17" spans="1:15">
      <c r="A17" s="59"/>
      <c r="B17" s="62"/>
      <c r="C17" s="43" t="s">
        <v>33</v>
      </c>
      <c r="D17" s="43"/>
      <c r="E17" s="62" t="s">
        <v>34</v>
      </c>
      <c r="F17" s="62"/>
      <c r="G17" s="21" t="s">
        <v>35</v>
      </c>
      <c r="H17" s="21"/>
      <c r="I17" s="21">
        <v>288</v>
      </c>
      <c r="J17" s="21">
        <v>756</v>
      </c>
      <c r="K17" s="21">
        <v>252</v>
      </c>
      <c r="L17" s="21">
        <v>756</v>
      </c>
      <c r="M17" s="21">
        <v>378</v>
      </c>
      <c r="N17" s="21">
        <v>252</v>
      </c>
      <c r="O17" s="15">
        <f t="shared" si="0"/>
        <v>2682</v>
      </c>
    </row>
    <row r="18" spans="1:15">
      <c r="A18" s="59"/>
      <c r="B18" s="62"/>
      <c r="C18" s="43"/>
      <c r="D18" s="43"/>
      <c r="E18" s="62" t="s">
        <v>36</v>
      </c>
      <c r="F18" s="63"/>
      <c r="G18" s="21"/>
      <c r="H18" s="21"/>
      <c r="I18" s="21">
        <v>1500</v>
      </c>
      <c r="J18" s="21">
        <v>3230</v>
      </c>
      <c r="K18" s="21">
        <v>1320</v>
      </c>
      <c r="L18" s="21">
        <v>3230</v>
      </c>
      <c r="M18" s="21">
        <v>3780</v>
      </c>
      <c r="N18" s="21">
        <v>2520</v>
      </c>
      <c r="O18" s="15">
        <f t="shared" si="0"/>
        <v>15580</v>
      </c>
    </row>
    <row r="19" spans="1:15">
      <c r="A19" s="59"/>
      <c r="B19" s="62"/>
      <c r="C19" s="43"/>
      <c r="D19" s="43"/>
      <c r="E19" s="62" t="s">
        <v>37</v>
      </c>
      <c r="F19" s="62"/>
      <c r="G19" s="21"/>
      <c r="H19" s="21"/>
      <c r="I19" s="21">
        <v>240</v>
      </c>
      <c r="J19" s="21">
        <v>360</v>
      </c>
      <c r="K19" s="21">
        <v>120</v>
      </c>
      <c r="L19" s="21">
        <v>360</v>
      </c>
      <c r="M19" s="21">
        <v>180</v>
      </c>
      <c r="N19" s="21">
        <v>120</v>
      </c>
      <c r="O19" s="15">
        <f t="shared" si="0"/>
        <v>1380</v>
      </c>
    </row>
    <row r="20" spans="1:15">
      <c r="A20" s="59"/>
      <c r="B20" s="62" t="s">
        <v>38</v>
      </c>
      <c r="C20" s="64" t="s">
        <v>31</v>
      </c>
      <c r="D20" s="65"/>
      <c r="E20" s="65"/>
      <c r="F20" s="66"/>
      <c r="G20" s="21"/>
      <c r="H20" s="21">
        <v>200</v>
      </c>
      <c r="I20" s="21">
        <v>100</v>
      </c>
      <c r="J20" s="21"/>
      <c r="K20" s="21">
        <v>300</v>
      </c>
      <c r="L20" s="21">
        <v>100</v>
      </c>
      <c r="M20" s="21"/>
      <c r="N20" s="21"/>
      <c r="O20" s="15">
        <f t="shared" si="0"/>
        <v>700</v>
      </c>
    </row>
    <row r="21" spans="1:15">
      <c r="A21" s="59"/>
      <c r="B21" s="62"/>
      <c r="C21" s="64" t="s">
        <v>36</v>
      </c>
      <c r="D21" s="65"/>
      <c r="E21" s="65"/>
      <c r="F21" s="66"/>
      <c r="G21" s="21"/>
      <c r="H21" s="21">
        <v>850</v>
      </c>
      <c r="I21" s="21">
        <v>250</v>
      </c>
      <c r="J21" s="21"/>
      <c r="K21" s="21"/>
      <c r="L21" s="21">
        <v>250</v>
      </c>
      <c r="M21" s="21"/>
      <c r="N21" s="21"/>
      <c r="O21" s="15">
        <f t="shared" si="0"/>
        <v>1350</v>
      </c>
    </row>
    <row r="22" spans="1:15">
      <c r="A22" s="59"/>
      <c r="B22" s="62"/>
      <c r="C22" s="64" t="s">
        <v>37</v>
      </c>
      <c r="D22" s="65"/>
      <c r="E22" s="65"/>
      <c r="F22" s="66"/>
      <c r="G22" s="21"/>
      <c r="H22" s="21">
        <v>1120</v>
      </c>
      <c r="I22" s="21">
        <v>630</v>
      </c>
      <c r="J22" s="21"/>
      <c r="K22" s="21">
        <v>4760</v>
      </c>
      <c r="L22" s="21">
        <v>630</v>
      </c>
      <c r="M22" s="21"/>
      <c r="N22" s="21"/>
      <c r="O22" s="15">
        <f t="shared" si="0"/>
        <v>7140</v>
      </c>
    </row>
    <row r="23" spans="1:15">
      <c r="A23" s="59"/>
      <c r="B23" s="62"/>
      <c r="C23" s="62" t="s">
        <v>39</v>
      </c>
      <c r="D23" s="62"/>
      <c r="E23" s="62"/>
      <c r="F23" s="62"/>
      <c r="G23" s="21"/>
      <c r="H23" s="21">
        <v>230</v>
      </c>
      <c r="I23" s="21">
        <v>120</v>
      </c>
      <c r="J23" s="21"/>
      <c r="K23" s="21">
        <v>395</v>
      </c>
      <c r="L23" s="21">
        <v>120</v>
      </c>
      <c r="M23" s="21"/>
      <c r="N23" s="21"/>
      <c r="O23" s="15">
        <f t="shared" si="0"/>
        <v>865</v>
      </c>
    </row>
    <row r="24" spans="1:15">
      <c r="A24" s="59"/>
      <c r="B24" s="15" t="s">
        <v>40</v>
      </c>
      <c r="C24" s="15"/>
      <c r="D24" s="15"/>
      <c r="E24" s="15"/>
      <c r="F24" s="15"/>
      <c r="G24" s="21"/>
      <c r="H24" s="21">
        <v>100</v>
      </c>
      <c r="I24" s="21">
        <v>120</v>
      </c>
      <c r="J24" s="21">
        <v>2600</v>
      </c>
      <c r="K24" s="21">
        <v>210</v>
      </c>
      <c r="L24" s="21">
        <v>100</v>
      </c>
      <c r="M24" s="21">
        <v>1260</v>
      </c>
      <c r="N24" s="21">
        <v>960</v>
      </c>
      <c r="O24" s="15">
        <f t="shared" si="0"/>
        <v>5350</v>
      </c>
    </row>
    <row r="25" spans="1:15">
      <c r="A25" s="59"/>
      <c r="B25" s="15" t="s">
        <v>41</v>
      </c>
      <c r="C25" s="15"/>
      <c r="D25" s="15"/>
      <c r="E25" s="15"/>
      <c r="F25" s="15"/>
      <c r="G25" s="15" t="s">
        <v>42</v>
      </c>
      <c r="H25" s="15">
        <v>100</v>
      </c>
      <c r="I25" s="15">
        <v>100</v>
      </c>
      <c r="J25" s="15">
        <v>50</v>
      </c>
      <c r="K25" s="15">
        <v>300</v>
      </c>
      <c r="L25" s="15">
        <v>200</v>
      </c>
      <c r="M25" s="15">
        <v>100</v>
      </c>
      <c r="N25" s="15">
        <v>300</v>
      </c>
      <c r="O25" s="15">
        <f t="shared" si="0"/>
        <v>1150</v>
      </c>
    </row>
    <row r="26" spans="1:15">
      <c r="A26" s="59" t="s">
        <v>43</v>
      </c>
      <c r="B26" s="15" t="s">
        <v>44</v>
      </c>
      <c r="C26" s="15" t="s">
        <v>45</v>
      </c>
      <c r="D26" s="15" t="s">
        <v>46</v>
      </c>
      <c r="E26" s="15" t="s">
        <v>47</v>
      </c>
      <c r="F26" s="15"/>
      <c r="G26" s="15" t="s">
        <v>32</v>
      </c>
      <c r="H26" s="15">
        <f>735+527</f>
        <v>1262</v>
      </c>
      <c r="I26" s="15">
        <v>2421</v>
      </c>
      <c r="J26" s="15">
        <v>3146</v>
      </c>
      <c r="K26" s="15">
        <v>2061</v>
      </c>
      <c r="L26" s="15"/>
      <c r="M26" s="15">
        <v>1164</v>
      </c>
      <c r="N26" s="15">
        <v>40</v>
      </c>
      <c r="O26" s="15">
        <f t="shared" si="0"/>
        <v>10094</v>
      </c>
    </row>
    <row r="27" spans="1:15">
      <c r="A27" s="59"/>
      <c r="B27" s="15"/>
      <c r="C27" s="15"/>
      <c r="D27" s="15"/>
      <c r="E27" s="15" t="s">
        <v>48</v>
      </c>
      <c r="F27" s="15"/>
      <c r="G27" s="15"/>
      <c r="H27" s="15"/>
      <c r="I27" s="15"/>
      <c r="J27" s="15"/>
      <c r="K27" s="15"/>
      <c r="L27" s="15"/>
      <c r="M27" s="15"/>
      <c r="N27" s="15"/>
      <c r="O27" s="15">
        <f t="shared" si="0"/>
        <v>0</v>
      </c>
    </row>
    <row r="28" spans="1:15">
      <c r="A28" s="59"/>
      <c r="B28" s="15"/>
      <c r="C28" s="15" t="s">
        <v>49</v>
      </c>
      <c r="D28" s="15" t="s">
        <v>46</v>
      </c>
      <c r="E28" s="15" t="s">
        <v>50</v>
      </c>
      <c r="F28" s="15"/>
      <c r="G28" s="15"/>
      <c r="H28" s="15"/>
      <c r="I28" s="15"/>
      <c r="J28" s="15"/>
      <c r="K28" s="15"/>
      <c r="L28" s="15"/>
      <c r="M28" s="15"/>
      <c r="N28" s="15"/>
      <c r="O28" s="15">
        <f t="shared" si="0"/>
        <v>0</v>
      </c>
    </row>
    <row r="29" spans="1:15">
      <c r="A29" s="59"/>
      <c r="B29" s="15"/>
      <c r="C29" s="15"/>
      <c r="D29" s="15"/>
      <c r="E29" s="15" t="s">
        <v>51</v>
      </c>
      <c r="F29" s="15"/>
      <c r="G29" s="15"/>
      <c r="H29" s="15"/>
      <c r="I29" s="15"/>
      <c r="J29" s="15"/>
      <c r="K29" s="15"/>
      <c r="L29" s="15"/>
      <c r="M29" s="15"/>
      <c r="N29" s="15"/>
      <c r="O29" s="15">
        <f t="shared" si="0"/>
        <v>0</v>
      </c>
    </row>
    <row r="30" spans="1:15">
      <c r="A30" s="59"/>
      <c r="B30" s="15"/>
      <c r="C30" s="15"/>
      <c r="D30" s="15" t="s">
        <v>52</v>
      </c>
      <c r="E30" s="15" t="s">
        <v>50</v>
      </c>
      <c r="F30" s="15"/>
      <c r="G30" s="15"/>
      <c r="H30" s="15"/>
      <c r="I30" s="15"/>
      <c r="J30" s="15"/>
      <c r="K30" s="15"/>
      <c r="L30" s="15"/>
      <c r="M30" s="15"/>
      <c r="N30" s="15"/>
      <c r="O30" s="15">
        <f t="shared" si="0"/>
        <v>0</v>
      </c>
    </row>
    <row r="31" spans="1:15">
      <c r="A31" s="59"/>
      <c r="B31" s="15"/>
      <c r="C31" s="15"/>
      <c r="D31" s="15"/>
      <c r="E31" s="15" t="s">
        <v>51</v>
      </c>
      <c r="F31" s="15"/>
      <c r="G31" s="15"/>
      <c r="H31" s="15"/>
      <c r="I31" s="15"/>
      <c r="J31" s="15"/>
      <c r="K31" s="15">
        <v>105</v>
      </c>
      <c r="L31" s="15">
        <v>4370</v>
      </c>
      <c r="M31" s="15"/>
      <c r="N31" s="15"/>
      <c r="O31" s="15">
        <f t="shared" si="0"/>
        <v>4475</v>
      </c>
    </row>
    <row r="32" spans="1:15">
      <c r="A32" s="59"/>
      <c r="B32" s="15"/>
      <c r="C32" s="15" t="s">
        <v>23</v>
      </c>
      <c r="D32" s="15"/>
      <c r="E32" s="15"/>
      <c r="F32" s="15"/>
      <c r="G32" s="15"/>
      <c r="H32" s="15">
        <v>1262</v>
      </c>
      <c r="I32" s="15">
        <f t="shared" ref="I32:N32" si="1">SUM(I26:I31)</f>
        <v>2421</v>
      </c>
      <c r="J32" s="15">
        <f t="shared" si="1"/>
        <v>3146</v>
      </c>
      <c r="K32" s="15">
        <f t="shared" si="1"/>
        <v>2166</v>
      </c>
      <c r="L32" s="15">
        <f t="shared" si="1"/>
        <v>4370</v>
      </c>
      <c r="M32" s="15">
        <f t="shared" si="1"/>
        <v>1164</v>
      </c>
      <c r="N32" s="15">
        <f t="shared" si="1"/>
        <v>40</v>
      </c>
      <c r="O32" s="15">
        <f t="shared" si="0"/>
        <v>14569</v>
      </c>
    </row>
    <row r="33" spans="1:15">
      <c r="A33" s="59"/>
      <c r="B33" s="15"/>
      <c r="C33" s="15" t="s">
        <v>53</v>
      </c>
      <c r="D33" s="15"/>
      <c r="E33" s="15"/>
      <c r="F33" s="15"/>
      <c r="G33" s="15" t="s">
        <v>32</v>
      </c>
      <c r="H33" s="15"/>
      <c r="I33" s="15"/>
      <c r="J33" s="15"/>
      <c r="K33" s="15"/>
      <c r="L33" s="15"/>
      <c r="M33" s="15"/>
      <c r="N33" s="15"/>
      <c r="O33" s="15">
        <f t="shared" si="0"/>
        <v>0</v>
      </c>
    </row>
    <row r="34" spans="1:15">
      <c r="A34" s="59"/>
      <c r="B34" s="15"/>
      <c r="C34" s="15" t="s">
        <v>54</v>
      </c>
      <c r="D34" s="15" t="s">
        <v>55</v>
      </c>
      <c r="E34" s="15" t="s">
        <v>56</v>
      </c>
      <c r="F34" s="15"/>
      <c r="G34" s="15" t="s">
        <v>57</v>
      </c>
      <c r="H34" s="15"/>
      <c r="I34" s="15"/>
      <c r="J34" s="15"/>
      <c r="K34" s="15"/>
      <c r="L34" s="15">
        <v>2</v>
      </c>
      <c r="M34" s="15"/>
      <c r="N34" s="15"/>
      <c r="O34" s="15">
        <f t="shared" si="0"/>
        <v>2</v>
      </c>
    </row>
    <row r="35" spans="1:15">
      <c r="A35" s="59"/>
      <c r="B35" s="15"/>
      <c r="C35" s="15" t="s">
        <v>58</v>
      </c>
      <c r="D35" s="15" t="s">
        <v>46</v>
      </c>
      <c r="E35" s="15"/>
      <c r="F35" s="15"/>
      <c r="G35" s="15" t="s">
        <v>32</v>
      </c>
      <c r="H35" s="15">
        <v>110</v>
      </c>
      <c r="I35" s="15">
        <v>120</v>
      </c>
      <c r="J35" s="15">
        <v>1427</v>
      </c>
      <c r="K35" s="15">
        <v>56</v>
      </c>
      <c r="L35" s="15"/>
      <c r="M35" s="15"/>
      <c r="N35" s="15">
        <v>100</v>
      </c>
      <c r="O35" s="15">
        <f t="shared" si="0"/>
        <v>1813</v>
      </c>
    </row>
    <row r="36" spans="1:15">
      <c r="A36" s="59"/>
      <c r="B36" s="15"/>
      <c r="C36" s="15"/>
      <c r="D36" s="15" t="s">
        <v>52</v>
      </c>
      <c r="E36" s="15"/>
      <c r="F36" s="15"/>
      <c r="G36" s="15"/>
      <c r="H36" s="27">
        <v>105</v>
      </c>
      <c r="I36" s="27"/>
      <c r="J36" s="27">
        <v>755</v>
      </c>
      <c r="K36" s="27">
        <v>105</v>
      </c>
      <c r="L36" s="27"/>
      <c r="M36" s="27"/>
      <c r="N36" s="27"/>
      <c r="O36" s="15">
        <f t="shared" si="0"/>
        <v>965</v>
      </c>
    </row>
    <row r="37" spans="1:15">
      <c r="A37" s="59"/>
      <c r="B37" s="15"/>
      <c r="C37" s="15" t="s">
        <v>59</v>
      </c>
      <c r="D37" s="15"/>
      <c r="E37" s="15"/>
      <c r="F37" s="15"/>
      <c r="G37" s="15"/>
      <c r="H37" s="27"/>
      <c r="I37" s="27"/>
      <c r="J37" s="27"/>
      <c r="K37" s="27"/>
      <c r="L37" s="27"/>
      <c r="M37" s="27"/>
      <c r="N37" s="27"/>
      <c r="O37" s="15">
        <f t="shared" si="0"/>
        <v>0</v>
      </c>
    </row>
    <row r="38" spans="1:15">
      <c r="A38" s="59"/>
      <c r="B38" s="15"/>
      <c r="C38" s="15" t="s">
        <v>60</v>
      </c>
      <c r="D38" s="15" t="s">
        <v>46</v>
      </c>
      <c r="E38" s="15" t="s">
        <v>61</v>
      </c>
      <c r="F38" s="15" t="s">
        <v>62</v>
      </c>
      <c r="G38" s="15" t="s">
        <v>63</v>
      </c>
      <c r="H38" s="29"/>
      <c r="I38" s="29"/>
      <c r="J38" s="29"/>
      <c r="K38" s="29"/>
      <c r="L38" s="29"/>
      <c r="M38" s="29"/>
      <c r="N38" s="29"/>
      <c r="O38" s="15">
        <f t="shared" si="0"/>
        <v>0</v>
      </c>
    </row>
    <row r="39" spans="1:15">
      <c r="A39" s="59"/>
      <c r="B39" s="15"/>
      <c r="C39" s="15"/>
      <c r="D39" s="15" t="s">
        <v>46</v>
      </c>
      <c r="E39" s="15" t="s">
        <v>64</v>
      </c>
      <c r="F39" s="15" t="s">
        <v>65</v>
      </c>
      <c r="G39" s="15"/>
      <c r="H39" s="31"/>
      <c r="I39" s="31"/>
      <c r="J39" s="31"/>
      <c r="K39" s="31"/>
      <c r="L39" s="31"/>
      <c r="M39" s="31"/>
      <c r="N39" s="31"/>
      <c r="O39" s="15">
        <f t="shared" si="0"/>
        <v>0</v>
      </c>
    </row>
    <row r="40" spans="1:15">
      <c r="A40" s="59"/>
      <c r="B40" s="15"/>
      <c r="C40" s="15"/>
      <c r="D40" s="15" t="s">
        <v>66</v>
      </c>
      <c r="E40" s="15"/>
      <c r="F40" s="15"/>
      <c r="G40" s="15"/>
      <c r="H40" s="29"/>
      <c r="I40" s="29"/>
      <c r="J40" s="29"/>
      <c r="K40" s="29">
        <v>1</v>
      </c>
      <c r="L40" s="29"/>
      <c r="M40" s="29"/>
      <c r="N40" s="29"/>
      <c r="O40" s="15">
        <f t="shared" si="0"/>
        <v>1</v>
      </c>
    </row>
    <row r="41" spans="1:15">
      <c r="A41" s="59"/>
      <c r="B41" s="15"/>
      <c r="C41" s="15"/>
      <c r="D41" s="15" t="s">
        <v>46</v>
      </c>
      <c r="E41" s="15" t="s">
        <v>64</v>
      </c>
      <c r="F41" s="15" t="s">
        <v>67</v>
      </c>
      <c r="G41" s="15"/>
      <c r="H41" s="29">
        <v>7</v>
      </c>
      <c r="I41" s="29">
        <v>10</v>
      </c>
      <c r="J41" s="29">
        <v>10</v>
      </c>
      <c r="K41" s="29">
        <v>8</v>
      </c>
      <c r="L41" s="29"/>
      <c r="M41" s="29">
        <v>9</v>
      </c>
      <c r="N41" s="29">
        <v>2</v>
      </c>
      <c r="O41" s="15">
        <f t="shared" si="0"/>
        <v>46</v>
      </c>
    </row>
    <row r="42" spans="1:15">
      <c r="A42" s="59"/>
      <c r="B42" s="15"/>
      <c r="C42" s="15"/>
      <c r="D42" s="15" t="s">
        <v>52</v>
      </c>
      <c r="E42" s="15" t="s">
        <v>68</v>
      </c>
      <c r="F42" s="15" t="s">
        <v>69</v>
      </c>
      <c r="G42" s="15"/>
      <c r="H42" s="29"/>
      <c r="I42" s="29"/>
      <c r="J42" s="29"/>
      <c r="K42" s="29"/>
      <c r="L42" s="29">
        <v>4</v>
      </c>
      <c r="M42" s="29"/>
      <c r="N42" s="29"/>
      <c r="O42" s="15">
        <f t="shared" si="0"/>
        <v>4</v>
      </c>
    </row>
    <row r="43" spans="1:15">
      <c r="A43" s="59"/>
      <c r="B43" s="15"/>
      <c r="C43" s="67" t="s">
        <v>70</v>
      </c>
      <c r="D43" s="15" t="s">
        <v>71</v>
      </c>
      <c r="E43" s="15"/>
      <c r="F43" s="15"/>
      <c r="G43" s="15"/>
      <c r="H43" s="29"/>
      <c r="I43" s="29"/>
      <c r="J43" s="29"/>
      <c r="K43" s="29"/>
      <c r="L43" s="29"/>
      <c r="M43" s="29"/>
      <c r="N43" s="29"/>
      <c r="O43" s="15">
        <f t="shared" si="0"/>
        <v>0</v>
      </c>
    </row>
    <row r="44" spans="1:15">
      <c r="A44" s="59"/>
      <c r="B44" s="15"/>
      <c r="C44" s="68"/>
      <c r="D44" s="15" t="s">
        <v>72</v>
      </c>
      <c r="E44" s="15"/>
      <c r="F44" s="15"/>
      <c r="G44" s="15" t="s">
        <v>63</v>
      </c>
      <c r="H44" s="29">
        <v>3</v>
      </c>
      <c r="I44" s="29">
        <v>3</v>
      </c>
      <c r="J44" s="29">
        <v>2</v>
      </c>
      <c r="K44" s="29">
        <v>1</v>
      </c>
      <c r="L44" s="29"/>
      <c r="M44" s="29"/>
      <c r="N44" s="29">
        <v>1</v>
      </c>
      <c r="O44" s="15">
        <f t="shared" si="0"/>
        <v>10</v>
      </c>
    </row>
    <row r="45" spans="1:15">
      <c r="A45" s="59"/>
      <c r="B45" s="15"/>
      <c r="C45" s="69"/>
      <c r="D45" s="15" t="s">
        <v>73</v>
      </c>
      <c r="E45" s="15"/>
      <c r="F45" s="15"/>
      <c r="G45" s="15"/>
      <c r="H45" s="29"/>
      <c r="I45" s="29"/>
      <c r="J45" s="29">
        <v>3</v>
      </c>
      <c r="K45" s="29"/>
      <c r="L45" s="29"/>
      <c r="M45" s="29"/>
      <c r="N45" s="29"/>
      <c r="O45" s="15">
        <f t="shared" si="0"/>
        <v>3</v>
      </c>
    </row>
    <row r="46" spans="1:15">
      <c r="A46" s="59"/>
      <c r="B46" s="15" t="s">
        <v>74</v>
      </c>
      <c r="C46" s="15"/>
      <c r="D46" s="15"/>
      <c r="E46" s="15"/>
      <c r="F46" s="15"/>
      <c r="G46" s="15" t="s">
        <v>35</v>
      </c>
      <c r="H46" s="29">
        <v>150</v>
      </c>
      <c r="I46" s="29">
        <v>50</v>
      </c>
      <c r="J46" s="29">
        <v>300</v>
      </c>
      <c r="K46" s="29"/>
      <c r="L46" s="29"/>
      <c r="M46" s="29"/>
      <c r="N46" s="29"/>
      <c r="O46" s="15">
        <f t="shared" si="0"/>
        <v>500</v>
      </c>
    </row>
    <row r="47" spans="1:15">
      <c r="A47" s="59"/>
      <c r="B47" s="15" t="s">
        <v>75</v>
      </c>
      <c r="C47" s="15" t="s">
        <v>76</v>
      </c>
      <c r="D47" s="15"/>
      <c r="E47" s="15"/>
      <c r="F47" s="15"/>
      <c r="G47" s="15" t="s">
        <v>77</v>
      </c>
      <c r="H47" s="29">
        <v>2446</v>
      </c>
      <c r="I47" s="29">
        <v>5752</v>
      </c>
      <c r="J47" s="29">
        <v>7104</v>
      </c>
      <c r="K47" s="29">
        <v>5525</v>
      </c>
      <c r="L47" s="29">
        <v>6049</v>
      </c>
      <c r="M47" s="29">
        <v>3286</v>
      </c>
      <c r="N47" s="29">
        <v>130</v>
      </c>
      <c r="O47" s="15">
        <f t="shared" si="0"/>
        <v>30292</v>
      </c>
    </row>
    <row r="48" spans="1:15">
      <c r="A48" s="59"/>
      <c r="B48" s="15"/>
      <c r="C48" s="15" t="s">
        <v>78</v>
      </c>
      <c r="D48" s="15"/>
      <c r="E48" s="15"/>
      <c r="F48" s="15"/>
      <c r="G48" s="15"/>
      <c r="H48" s="29">
        <v>200</v>
      </c>
      <c r="I48" s="29">
        <v>325</v>
      </c>
      <c r="J48" s="29">
        <v>452</v>
      </c>
      <c r="K48" s="29">
        <v>200</v>
      </c>
      <c r="L48" s="29">
        <v>437</v>
      </c>
      <c r="M48" s="29">
        <v>324</v>
      </c>
      <c r="N48" s="29">
        <v>50</v>
      </c>
      <c r="O48" s="15">
        <f t="shared" si="0"/>
        <v>1988</v>
      </c>
    </row>
    <row r="49" spans="1:15">
      <c r="A49" s="59"/>
      <c r="B49" s="15"/>
      <c r="C49" s="15" t="s">
        <v>79</v>
      </c>
      <c r="D49" s="15"/>
      <c r="E49" s="15"/>
      <c r="F49" s="15"/>
      <c r="G49" s="15"/>
      <c r="H49" s="29">
        <v>100</v>
      </c>
      <c r="I49" s="29">
        <v>200</v>
      </c>
      <c r="J49" s="29">
        <v>300</v>
      </c>
      <c r="K49" s="29">
        <v>100</v>
      </c>
      <c r="L49" s="29">
        <v>100</v>
      </c>
      <c r="M49" s="29">
        <v>180</v>
      </c>
      <c r="N49" s="29"/>
      <c r="O49" s="15">
        <f t="shared" si="0"/>
        <v>980</v>
      </c>
    </row>
    <row r="50" spans="1:15">
      <c r="A50" s="59"/>
      <c r="B50" s="15"/>
      <c r="C50" s="15" t="s">
        <v>80</v>
      </c>
      <c r="D50" s="15"/>
      <c r="E50" s="15"/>
      <c r="F50" s="15"/>
      <c r="G50" s="15"/>
      <c r="H50" s="29">
        <v>150</v>
      </c>
      <c r="I50" s="29"/>
      <c r="J50" s="29">
        <v>300</v>
      </c>
      <c r="K50" s="29"/>
      <c r="L50" s="29"/>
      <c r="M50" s="29"/>
      <c r="N50" s="29"/>
      <c r="O50" s="15">
        <f t="shared" si="0"/>
        <v>450</v>
      </c>
    </row>
    <row r="51" spans="1:15">
      <c r="A51" s="59"/>
      <c r="B51" s="15"/>
      <c r="C51" s="15" t="s">
        <v>23</v>
      </c>
      <c r="D51" s="15"/>
      <c r="E51" s="15"/>
      <c r="F51" s="15"/>
      <c r="G51" s="15"/>
      <c r="H51" s="29">
        <f t="shared" ref="H51:N51" si="2">SUM(H47:H50)</f>
        <v>2896</v>
      </c>
      <c r="I51" s="29">
        <f t="shared" si="2"/>
        <v>6277</v>
      </c>
      <c r="J51" s="29">
        <f t="shared" si="2"/>
        <v>8156</v>
      </c>
      <c r="K51" s="29">
        <f t="shared" si="2"/>
        <v>5825</v>
      </c>
      <c r="L51" s="29">
        <f t="shared" si="2"/>
        <v>6586</v>
      </c>
      <c r="M51" s="29">
        <f t="shared" si="2"/>
        <v>3790</v>
      </c>
      <c r="N51" s="29">
        <f t="shared" si="2"/>
        <v>180</v>
      </c>
      <c r="O51" s="15">
        <f t="shared" si="0"/>
        <v>33710</v>
      </c>
    </row>
    <row r="52" spans="1:15">
      <c r="A52" s="59"/>
      <c r="B52" s="15" t="s">
        <v>81</v>
      </c>
      <c r="C52" s="15" t="s">
        <v>82</v>
      </c>
      <c r="D52" s="15" t="s">
        <v>83</v>
      </c>
      <c r="E52" s="15"/>
      <c r="F52" s="15"/>
      <c r="G52" s="15" t="s">
        <v>84</v>
      </c>
      <c r="H52" s="29"/>
      <c r="I52" s="29"/>
      <c r="J52" s="29"/>
      <c r="K52" s="29">
        <v>1</v>
      </c>
      <c r="L52" s="29">
        <v>5</v>
      </c>
      <c r="M52" s="29">
        <v>1</v>
      </c>
      <c r="N52" s="29"/>
      <c r="O52" s="15">
        <f t="shared" si="0"/>
        <v>7</v>
      </c>
    </row>
    <row r="53" spans="1:15">
      <c r="A53" s="59"/>
      <c r="B53" s="15"/>
      <c r="C53" s="15"/>
      <c r="D53" s="15" t="s">
        <v>85</v>
      </c>
      <c r="E53" s="15"/>
      <c r="F53" s="15"/>
      <c r="G53" s="15"/>
      <c r="H53" s="29"/>
      <c r="I53" s="29"/>
      <c r="J53" s="29"/>
      <c r="K53" s="29"/>
      <c r="L53" s="29"/>
      <c r="M53" s="29"/>
      <c r="N53" s="29"/>
      <c r="O53" s="15">
        <f t="shared" si="0"/>
        <v>0</v>
      </c>
    </row>
    <row r="54" spans="1:15">
      <c r="A54" s="59"/>
      <c r="B54" s="15"/>
      <c r="C54" s="15" t="s">
        <v>86</v>
      </c>
      <c r="D54" s="15" t="s">
        <v>87</v>
      </c>
      <c r="E54" s="15"/>
      <c r="F54" s="15"/>
      <c r="G54" s="15" t="s">
        <v>88</v>
      </c>
      <c r="H54" s="29">
        <v>1834</v>
      </c>
      <c r="I54" s="29">
        <v>2400</v>
      </c>
      <c r="J54" s="29">
        <v>2600</v>
      </c>
      <c r="K54" s="29">
        <v>3100</v>
      </c>
      <c r="L54" s="29">
        <v>2118</v>
      </c>
      <c r="M54" s="29">
        <v>2200</v>
      </c>
      <c r="N54" s="29">
        <v>800</v>
      </c>
      <c r="O54" s="15">
        <f t="shared" si="0"/>
        <v>15052</v>
      </c>
    </row>
    <row r="55" spans="1:15">
      <c r="A55" s="59"/>
      <c r="B55" s="15"/>
      <c r="C55" s="15" t="s">
        <v>89</v>
      </c>
      <c r="D55" s="15" t="s">
        <v>90</v>
      </c>
      <c r="E55" s="15"/>
      <c r="F55" s="15"/>
      <c r="G55" s="15"/>
      <c r="H55" s="29"/>
      <c r="I55" s="29">
        <v>880</v>
      </c>
      <c r="J55" s="29">
        <v>880</v>
      </c>
      <c r="K55" s="29">
        <v>880</v>
      </c>
      <c r="L55" s="29"/>
      <c r="M55" s="29">
        <v>1000</v>
      </c>
      <c r="N55" s="29"/>
      <c r="O55" s="15">
        <f t="shared" si="0"/>
        <v>3640</v>
      </c>
    </row>
    <row r="56" spans="1:15">
      <c r="A56" s="59"/>
      <c r="B56" s="15"/>
      <c r="C56" s="15" t="s">
        <v>91</v>
      </c>
      <c r="D56" s="15" t="s">
        <v>92</v>
      </c>
      <c r="E56" s="15"/>
      <c r="F56" s="15"/>
      <c r="G56" s="15" t="s">
        <v>28</v>
      </c>
      <c r="H56" s="29"/>
      <c r="I56" s="29"/>
      <c r="J56" s="29"/>
      <c r="K56" s="29"/>
      <c r="L56" s="29">
        <v>120</v>
      </c>
      <c r="M56" s="29"/>
      <c r="N56" s="29"/>
      <c r="O56" s="15">
        <f t="shared" si="0"/>
        <v>120</v>
      </c>
    </row>
    <row r="57" spans="1:15">
      <c r="A57" s="59"/>
      <c r="B57" s="15"/>
      <c r="C57" s="15" t="s">
        <v>93</v>
      </c>
      <c r="D57" s="15" t="s">
        <v>94</v>
      </c>
      <c r="E57" s="15"/>
      <c r="F57" s="15"/>
      <c r="G57" s="15" t="s">
        <v>88</v>
      </c>
      <c r="H57" s="29"/>
      <c r="I57" s="29"/>
      <c r="J57" s="29">
        <v>1610</v>
      </c>
      <c r="K57" s="29"/>
      <c r="L57" s="29">
        <v>1200</v>
      </c>
      <c r="M57" s="29"/>
      <c r="N57" s="29"/>
      <c r="O57" s="15">
        <f t="shared" si="0"/>
        <v>2810</v>
      </c>
    </row>
    <row r="58" spans="1:15">
      <c r="A58" s="59"/>
      <c r="B58" s="15"/>
      <c r="C58" s="15" t="s">
        <v>95</v>
      </c>
      <c r="D58" s="15" t="s">
        <v>96</v>
      </c>
      <c r="E58" s="15"/>
      <c r="F58" s="15"/>
      <c r="G58" s="15" t="s">
        <v>32</v>
      </c>
      <c r="H58" s="29">
        <v>100</v>
      </c>
      <c r="I58" s="29">
        <v>300</v>
      </c>
      <c r="J58" s="29">
        <v>100</v>
      </c>
      <c r="K58" s="29">
        <v>200</v>
      </c>
      <c r="L58" s="29">
        <v>200</v>
      </c>
      <c r="M58" s="29">
        <v>50</v>
      </c>
      <c r="N58" s="29">
        <v>50</v>
      </c>
      <c r="O58" s="15">
        <f t="shared" si="0"/>
        <v>1000</v>
      </c>
    </row>
    <row r="59" spans="1:15">
      <c r="A59" s="59"/>
      <c r="B59" s="15"/>
      <c r="C59" s="15" t="s">
        <v>97</v>
      </c>
      <c r="D59" s="55" t="s">
        <v>98</v>
      </c>
      <c r="E59" s="55"/>
      <c r="F59" s="55"/>
      <c r="G59" s="15" t="s">
        <v>28</v>
      </c>
      <c r="H59" s="29"/>
      <c r="I59" s="29"/>
      <c r="J59" s="29"/>
      <c r="K59" s="29"/>
      <c r="L59" s="29">
        <v>107337</v>
      </c>
      <c r="M59" s="29"/>
      <c r="N59" s="29"/>
      <c r="O59" s="15">
        <f t="shared" si="0"/>
        <v>107337</v>
      </c>
    </row>
    <row r="60" spans="1:15">
      <c r="A60" s="59"/>
      <c r="B60" s="15"/>
      <c r="C60" s="15"/>
      <c r="D60" s="15" t="s">
        <v>99</v>
      </c>
      <c r="E60" s="15"/>
      <c r="F60" s="15"/>
      <c r="G60" s="15" t="s">
        <v>32</v>
      </c>
      <c r="H60" s="29"/>
      <c r="I60" s="29"/>
      <c r="J60" s="29"/>
      <c r="K60" s="29"/>
      <c r="L60" s="29">
        <v>2744</v>
      </c>
      <c r="M60" s="29"/>
      <c r="N60" s="29"/>
      <c r="O60" s="15">
        <f t="shared" si="0"/>
        <v>2744</v>
      </c>
    </row>
    <row r="61" spans="1:15">
      <c r="A61" s="59" t="s">
        <v>100</v>
      </c>
      <c r="B61" s="15" t="s">
        <v>101</v>
      </c>
      <c r="C61" s="15" t="s">
        <v>102</v>
      </c>
      <c r="D61" s="15" t="s">
        <v>103</v>
      </c>
      <c r="E61" s="15"/>
      <c r="F61" s="15"/>
      <c r="G61" s="15" t="s">
        <v>32</v>
      </c>
      <c r="H61" s="29"/>
      <c r="I61" s="29">
        <v>870</v>
      </c>
      <c r="J61" s="29">
        <v>1740</v>
      </c>
      <c r="K61" s="29">
        <v>1740</v>
      </c>
      <c r="L61" s="29">
        <v>2216</v>
      </c>
      <c r="M61" s="29"/>
      <c r="N61" s="29"/>
      <c r="O61" s="15">
        <f t="shared" si="0"/>
        <v>6566</v>
      </c>
    </row>
    <row r="62" spans="1:15">
      <c r="A62" s="59"/>
      <c r="B62" s="15"/>
      <c r="C62" s="15" t="s">
        <v>104</v>
      </c>
      <c r="D62" s="15" t="s">
        <v>105</v>
      </c>
      <c r="E62" s="15"/>
      <c r="F62" s="15"/>
      <c r="G62" s="15"/>
      <c r="H62" s="29"/>
      <c r="I62" s="29">
        <v>20</v>
      </c>
      <c r="J62" s="29">
        <v>40</v>
      </c>
      <c r="K62" s="29">
        <v>20</v>
      </c>
      <c r="L62" s="29">
        <v>40</v>
      </c>
      <c r="M62" s="29"/>
      <c r="N62" s="29"/>
      <c r="O62" s="15">
        <f t="shared" si="0"/>
        <v>120</v>
      </c>
    </row>
    <row r="63" spans="1:15">
      <c r="A63" s="59"/>
      <c r="B63" s="15" t="s">
        <v>106</v>
      </c>
      <c r="C63" s="36" t="s">
        <v>107</v>
      </c>
      <c r="D63" s="36"/>
      <c r="E63" s="36"/>
      <c r="F63" s="36"/>
      <c r="G63" s="15" t="s">
        <v>32</v>
      </c>
      <c r="H63" s="29"/>
      <c r="I63" s="29"/>
      <c r="J63" s="29"/>
      <c r="K63" s="29"/>
      <c r="L63" s="29"/>
      <c r="M63" s="29"/>
      <c r="N63" s="29"/>
      <c r="O63" s="15">
        <f t="shared" si="0"/>
        <v>0</v>
      </c>
    </row>
    <row r="64" spans="1:15">
      <c r="A64" s="59"/>
      <c r="B64" s="55" t="s">
        <v>108</v>
      </c>
      <c r="C64" s="15" t="s">
        <v>109</v>
      </c>
      <c r="D64" s="15"/>
      <c r="E64" s="15"/>
      <c r="F64" s="15"/>
      <c r="G64" s="15" t="s">
        <v>32</v>
      </c>
      <c r="H64" s="29">
        <v>1360</v>
      </c>
      <c r="I64" s="29"/>
      <c r="J64" s="29">
        <v>1300</v>
      </c>
      <c r="K64" s="29">
        <v>1860</v>
      </c>
      <c r="L64" s="29"/>
      <c r="M64" s="29"/>
      <c r="N64" s="29"/>
      <c r="O64" s="15">
        <f t="shared" si="0"/>
        <v>4520</v>
      </c>
    </row>
    <row r="65" spans="1:15">
      <c r="A65" s="59"/>
      <c r="B65" s="55"/>
      <c r="C65" s="15" t="s">
        <v>110</v>
      </c>
      <c r="D65" s="15"/>
      <c r="E65" s="15"/>
      <c r="F65" s="15"/>
      <c r="G65" s="15"/>
      <c r="H65" s="29"/>
      <c r="I65" s="29"/>
      <c r="J65" s="29"/>
      <c r="K65" s="29">
        <v>920</v>
      </c>
      <c r="L65" s="29"/>
      <c r="M65" s="29"/>
      <c r="N65" s="29"/>
      <c r="O65" s="15">
        <f t="shared" si="0"/>
        <v>920</v>
      </c>
    </row>
    <row r="66" spans="1:15">
      <c r="A66" s="59"/>
      <c r="B66" s="55"/>
      <c r="C66" s="15" t="s">
        <v>111</v>
      </c>
      <c r="D66" s="15"/>
      <c r="E66" s="15"/>
      <c r="F66" s="15"/>
      <c r="G66" s="15"/>
      <c r="H66" s="29">
        <v>480</v>
      </c>
      <c r="I66" s="29">
        <v>1200</v>
      </c>
      <c r="J66" s="29">
        <v>1600</v>
      </c>
      <c r="K66" s="29">
        <v>940</v>
      </c>
      <c r="L66" s="29">
        <v>3643</v>
      </c>
      <c r="M66" s="29">
        <v>2500</v>
      </c>
      <c r="N66" s="29">
        <v>800</v>
      </c>
      <c r="O66" s="15">
        <f t="shared" si="0"/>
        <v>11163</v>
      </c>
    </row>
    <row r="67" spans="1:15">
      <c r="A67" s="59"/>
      <c r="B67" s="15" t="s">
        <v>112</v>
      </c>
      <c r="C67" s="15" t="s">
        <v>113</v>
      </c>
      <c r="D67" s="15" t="s">
        <v>114</v>
      </c>
      <c r="E67" s="15"/>
      <c r="F67" s="15"/>
      <c r="G67" s="15" t="s">
        <v>77</v>
      </c>
      <c r="H67" s="29">
        <v>3555</v>
      </c>
      <c r="I67" s="29">
        <v>15161</v>
      </c>
      <c r="J67" s="29">
        <v>16302</v>
      </c>
      <c r="K67" s="29">
        <v>15036</v>
      </c>
      <c r="L67" s="29">
        <f>7186+1746</f>
        <v>8932</v>
      </c>
      <c r="M67" s="29">
        <f>12402+2898</f>
        <v>15300</v>
      </c>
      <c r="N67" s="29">
        <v>2322</v>
      </c>
      <c r="O67" s="15">
        <f t="shared" si="0"/>
        <v>76608</v>
      </c>
    </row>
    <row r="68" spans="1:15">
      <c r="A68" s="59"/>
      <c r="B68" s="15"/>
      <c r="C68" s="15" t="s">
        <v>115</v>
      </c>
      <c r="D68" s="15" t="s">
        <v>116</v>
      </c>
      <c r="E68" s="15"/>
      <c r="F68" s="15"/>
      <c r="G68" s="15"/>
      <c r="H68" s="29">
        <v>16601</v>
      </c>
      <c r="I68" s="29">
        <v>56623</v>
      </c>
      <c r="J68" s="29">
        <v>60885</v>
      </c>
      <c r="K68" s="29">
        <v>57589</v>
      </c>
      <c r="L68" s="29">
        <f>24935+6607</f>
        <v>31542</v>
      </c>
      <c r="M68" s="29">
        <f>48535+14164</f>
        <v>62699</v>
      </c>
      <c r="N68" s="29">
        <v>10846</v>
      </c>
      <c r="O68" s="15">
        <f t="shared" si="0"/>
        <v>296785</v>
      </c>
    </row>
    <row r="69" spans="1:15">
      <c r="A69" s="59"/>
      <c r="B69" s="15"/>
      <c r="C69" s="15" t="s">
        <v>117</v>
      </c>
      <c r="D69" s="15" t="s">
        <v>118</v>
      </c>
      <c r="E69" s="15"/>
      <c r="F69" s="15"/>
      <c r="G69" s="15"/>
      <c r="H69" s="29"/>
      <c r="I69" s="29">
        <v>15142</v>
      </c>
      <c r="J69" s="29">
        <f>550*7*1.25*2+20000</f>
        <v>29625</v>
      </c>
      <c r="K69" s="29">
        <v>49455</v>
      </c>
      <c r="L69" s="29">
        <v>474690</v>
      </c>
      <c r="M69" s="29">
        <f>51975+12127</f>
        <v>64102</v>
      </c>
      <c r="N69" s="29">
        <v>16721</v>
      </c>
      <c r="O69" s="15">
        <f t="shared" ref="O69:O83" si="3">SUM(H69:N69)</f>
        <v>649735</v>
      </c>
    </row>
    <row r="70" spans="1:15">
      <c r="A70" s="59"/>
      <c r="B70" s="15"/>
      <c r="C70" s="15" t="s">
        <v>119</v>
      </c>
      <c r="D70" s="15"/>
      <c r="E70" s="15"/>
      <c r="F70" s="15"/>
      <c r="G70" s="15"/>
      <c r="H70" s="29">
        <v>2939</v>
      </c>
      <c r="I70" s="29">
        <v>11067</v>
      </c>
      <c r="J70" s="29">
        <v>10535</v>
      </c>
      <c r="K70" s="29">
        <v>5025</v>
      </c>
      <c r="L70" s="29">
        <v>71203</v>
      </c>
      <c r="M70" s="29">
        <v>6050</v>
      </c>
      <c r="N70" s="29">
        <v>1680</v>
      </c>
      <c r="O70" s="15">
        <f t="shared" si="3"/>
        <v>108499</v>
      </c>
    </row>
    <row r="71" spans="1:15">
      <c r="A71" s="59"/>
      <c r="B71" s="15"/>
      <c r="C71" s="15" t="s">
        <v>120</v>
      </c>
      <c r="D71" s="15"/>
      <c r="E71" s="15"/>
      <c r="F71" s="15"/>
      <c r="G71" s="15"/>
      <c r="H71" s="29">
        <f>SUM(H67:H70)</f>
        <v>23095</v>
      </c>
      <c r="I71" s="29">
        <f t="shared" ref="I71:N71" si="4">SUM(I67:I70)</f>
        <v>97993</v>
      </c>
      <c r="J71" s="29">
        <f t="shared" si="4"/>
        <v>117347</v>
      </c>
      <c r="K71" s="29">
        <f t="shared" si="4"/>
        <v>127105</v>
      </c>
      <c r="L71" s="29">
        <f t="shared" si="4"/>
        <v>586367</v>
      </c>
      <c r="M71" s="29">
        <f t="shared" si="4"/>
        <v>148151</v>
      </c>
      <c r="N71" s="29">
        <f t="shared" si="4"/>
        <v>31569</v>
      </c>
      <c r="O71" s="15">
        <f t="shared" si="3"/>
        <v>1131627</v>
      </c>
    </row>
    <row r="72" spans="1:15">
      <c r="A72" s="59"/>
      <c r="B72" s="15" t="s">
        <v>121</v>
      </c>
      <c r="C72" s="15" t="s">
        <v>122</v>
      </c>
      <c r="D72" s="15"/>
      <c r="E72" s="15"/>
      <c r="F72" s="15"/>
      <c r="G72" s="15"/>
      <c r="H72" s="29">
        <f>50203*0.3</f>
        <v>15060.9</v>
      </c>
      <c r="I72" s="29"/>
      <c r="J72" s="29"/>
      <c r="K72" s="29">
        <f>216312*0.3</f>
        <v>64893.6</v>
      </c>
      <c r="L72" s="29">
        <f>154026*0.3</f>
        <v>46207.8</v>
      </c>
      <c r="M72" s="29">
        <f>53500*0.3</f>
        <v>16050</v>
      </c>
      <c r="N72" s="29">
        <f>56563*0.3</f>
        <v>16968.9</v>
      </c>
      <c r="O72" s="15">
        <f t="shared" si="3"/>
        <v>159181.2</v>
      </c>
    </row>
    <row r="73" spans="1:15">
      <c r="A73" s="59"/>
      <c r="B73" s="15"/>
      <c r="C73" s="15" t="s">
        <v>123</v>
      </c>
      <c r="D73" s="15"/>
      <c r="E73" s="15"/>
      <c r="F73" s="15"/>
      <c r="G73" s="15"/>
      <c r="H73" s="29">
        <f>50203*0.7</f>
        <v>35142.1</v>
      </c>
      <c r="I73" s="29"/>
      <c r="J73" s="29"/>
      <c r="K73" s="29">
        <f>216312*0.7</f>
        <v>151418.4</v>
      </c>
      <c r="L73" s="29">
        <f>154026*0.7</f>
        <v>107818.2</v>
      </c>
      <c r="M73" s="29">
        <f>53500*0.7</f>
        <v>37450</v>
      </c>
      <c r="N73" s="29">
        <f>56563*0.7</f>
        <v>39594.1</v>
      </c>
      <c r="O73" s="15">
        <f t="shared" si="3"/>
        <v>371422.8</v>
      </c>
    </row>
    <row r="74" spans="1:15">
      <c r="A74" s="59"/>
      <c r="B74" s="15"/>
      <c r="C74" s="15" t="s">
        <v>124</v>
      </c>
      <c r="D74" s="15"/>
      <c r="E74" s="15"/>
      <c r="F74" s="15"/>
      <c r="G74" s="15"/>
      <c r="H74" s="29">
        <v>2939</v>
      </c>
      <c r="I74" s="29">
        <v>11067</v>
      </c>
      <c r="J74" s="29">
        <v>10535</v>
      </c>
      <c r="K74" s="29">
        <v>5025</v>
      </c>
      <c r="L74" s="29">
        <v>71203</v>
      </c>
      <c r="M74" s="29">
        <v>6050</v>
      </c>
      <c r="N74" s="29">
        <v>1680</v>
      </c>
      <c r="O74" s="15">
        <f t="shared" si="3"/>
        <v>108499</v>
      </c>
    </row>
    <row r="75" spans="1:15">
      <c r="A75" s="59"/>
      <c r="B75" s="15"/>
      <c r="C75" s="15" t="s">
        <v>125</v>
      </c>
      <c r="D75" s="15"/>
      <c r="E75" s="15"/>
      <c r="F75" s="15"/>
      <c r="G75" s="15"/>
      <c r="H75" s="29">
        <f>SUM(H72:H74)</f>
        <v>53142</v>
      </c>
      <c r="I75" s="29">
        <f t="shared" ref="I75:N75" si="5">SUM(I72:I74)</f>
        <v>11067</v>
      </c>
      <c r="J75" s="29">
        <f t="shared" si="5"/>
        <v>10535</v>
      </c>
      <c r="K75" s="29">
        <f t="shared" si="5"/>
        <v>221337</v>
      </c>
      <c r="L75" s="29">
        <f t="shared" si="5"/>
        <v>225229</v>
      </c>
      <c r="M75" s="29">
        <f t="shared" si="5"/>
        <v>59550</v>
      </c>
      <c r="N75" s="29">
        <f t="shared" si="5"/>
        <v>58243</v>
      </c>
      <c r="O75" s="15">
        <f t="shared" si="3"/>
        <v>639103</v>
      </c>
    </row>
    <row r="76" spans="1:15">
      <c r="A76" s="59"/>
      <c r="B76" s="15" t="s">
        <v>23</v>
      </c>
      <c r="C76" s="15"/>
      <c r="D76" s="15"/>
      <c r="E76" s="15"/>
      <c r="F76" s="15"/>
      <c r="G76" s="15"/>
      <c r="H76" s="29">
        <f>H71+H75</f>
        <v>76237</v>
      </c>
      <c r="I76" s="29">
        <f t="shared" ref="I76:N76" si="6">I71+I75</f>
        <v>109060</v>
      </c>
      <c r="J76" s="29">
        <f t="shared" si="6"/>
        <v>127882</v>
      </c>
      <c r="K76" s="29">
        <f t="shared" si="6"/>
        <v>348442</v>
      </c>
      <c r="L76" s="29">
        <f t="shared" si="6"/>
        <v>811596</v>
      </c>
      <c r="M76" s="29">
        <f t="shared" si="6"/>
        <v>207701</v>
      </c>
      <c r="N76" s="29">
        <f t="shared" si="6"/>
        <v>89812</v>
      </c>
      <c r="O76" s="15">
        <f t="shared" si="3"/>
        <v>1770730</v>
      </c>
    </row>
    <row r="77" spans="1:15">
      <c r="A77" s="59"/>
      <c r="B77" s="15" t="s">
        <v>126</v>
      </c>
      <c r="C77" s="15"/>
      <c r="D77" s="15"/>
      <c r="E77" s="15"/>
      <c r="F77" s="15"/>
      <c r="G77" s="15" t="s">
        <v>28</v>
      </c>
      <c r="H77" s="29">
        <v>4200</v>
      </c>
      <c r="I77" s="29">
        <v>9800</v>
      </c>
      <c r="J77" s="29">
        <v>4500</v>
      </c>
      <c r="K77" s="29">
        <v>5600</v>
      </c>
      <c r="L77" s="29"/>
      <c r="M77" s="29">
        <v>17500</v>
      </c>
      <c r="N77" s="29">
        <v>5600</v>
      </c>
      <c r="O77" s="15">
        <f t="shared" si="3"/>
        <v>47200</v>
      </c>
    </row>
    <row r="78" spans="1:15">
      <c r="A78" s="59"/>
      <c r="B78" s="56" t="s">
        <v>127</v>
      </c>
      <c r="C78" s="56"/>
      <c r="D78" s="56"/>
      <c r="E78" s="56"/>
      <c r="F78" s="70" t="s">
        <v>128</v>
      </c>
      <c r="G78" s="56" t="s">
        <v>35</v>
      </c>
      <c r="H78" s="38"/>
      <c r="I78" s="38">
        <v>33000</v>
      </c>
      <c r="J78" s="38"/>
      <c r="K78" s="38"/>
      <c r="L78" s="38">
        <f>2334*3</f>
        <v>7002</v>
      </c>
      <c r="M78" s="38"/>
      <c r="N78" s="38"/>
      <c r="O78" s="15">
        <f t="shared" si="3"/>
        <v>40002</v>
      </c>
    </row>
    <row r="79" spans="1:15">
      <c r="A79" s="59"/>
      <c r="B79" s="56"/>
      <c r="C79" s="56"/>
      <c r="D79" s="56"/>
      <c r="E79" s="56"/>
      <c r="F79" s="70" t="s">
        <v>129</v>
      </c>
      <c r="G79" s="56"/>
      <c r="H79" s="38"/>
      <c r="I79" s="38">
        <v>13200</v>
      </c>
      <c r="J79" s="38"/>
      <c r="K79" s="38"/>
      <c r="L79" s="38">
        <f>2334*3</f>
        <v>7002</v>
      </c>
      <c r="M79" s="38"/>
      <c r="N79" s="38"/>
      <c r="O79" s="15">
        <f t="shared" si="3"/>
        <v>20202</v>
      </c>
    </row>
    <row r="80" spans="1:15">
      <c r="A80" s="71" t="s">
        <v>130</v>
      </c>
      <c r="B80" s="56" t="s">
        <v>131</v>
      </c>
      <c r="C80" s="72" t="s">
        <v>132</v>
      </c>
      <c r="D80" s="72"/>
      <c r="E80" s="72"/>
      <c r="F80" s="73"/>
      <c r="G80" s="43" t="s">
        <v>77</v>
      </c>
      <c r="H80" s="43">
        <v>300</v>
      </c>
      <c r="I80" s="43"/>
      <c r="J80" s="43">
        <v>200</v>
      </c>
      <c r="K80" s="43"/>
      <c r="L80" s="43"/>
      <c r="M80" s="43"/>
      <c r="N80" s="43"/>
      <c r="O80" s="15">
        <f t="shared" si="3"/>
        <v>500</v>
      </c>
    </row>
    <row r="81" spans="1:15">
      <c r="A81" s="71"/>
      <c r="B81" s="56"/>
      <c r="C81" s="72" t="s">
        <v>133</v>
      </c>
      <c r="D81" s="72"/>
      <c r="E81" s="72"/>
      <c r="F81" s="73"/>
      <c r="G81" s="43" t="s">
        <v>32</v>
      </c>
      <c r="H81" s="43">
        <v>200</v>
      </c>
      <c r="I81" s="43"/>
      <c r="J81" s="43">
        <v>300</v>
      </c>
      <c r="K81" s="43"/>
      <c r="L81" s="43"/>
      <c r="M81" s="43"/>
      <c r="N81" s="43"/>
      <c r="O81" s="15">
        <f t="shared" si="3"/>
        <v>500</v>
      </c>
    </row>
    <row r="82" spans="1:15">
      <c r="A82" s="71"/>
      <c r="B82" s="56"/>
      <c r="C82" s="72" t="s">
        <v>134</v>
      </c>
      <c r="D82" s="72"/>
      <c r="E82" s="72"/>
      <c r="F82" s="73"/>
      <c r="G82" s="43" t="s">
        <v>77</v>
      </c>
      <c r="H82" s="43">
        <v>172</v>
      </c>
      <c r="I82" s="43"/>
      <c r="J82" s="43">
        <v>210</v>
      </c>
      <c r="K82" s="43"/>
      <c r="L82" s="43"/>
      <c r="M82" s="43"/>
      <c r="N82" s="43"/>
      <c r="O82" s="15">
        <f t="shared" si="3"/>
        <v>382</v>
      </c>
    </row>
    <row r="83" spans="1:15">
      <c r="A83" s="71"/>
      <c r="B83" s="56"/>
      <c r="C83" s="72" t="s">
        <v>135</v>
      </c>
      <c r="D83" s="72"/>
      <c r="E83" s="72"/>
      <c r="F83" s="73"/>
      <c r="G83" s="43" t="s">
        <v>63</v>
      </c>
      <c r="H83" s="43">
        <v>2</v>
      </c>
      <c r="I83" s="43"/>
      <c r="J83" s="43">
        <v>2</v>
      </c>
      <c r="K83" s="43"/>
      <c r="L83" s="43"/>
      <c r="M83" s="43"/>
      <c r="N83" s="43"/>
      <c r="O83" s="15">
        <f t="shared" si="3"/>
        <v>4</v>
      </c>
    </row>
    <row r="84" spans="1:15">
      <c r="A84" s="71"/>
      <c r="B84" s="72" t="s">
        <v>136</v>
      </c>
      <c r="C84" s="74" t="s">
        <v>137</v>
      </c>
      <c r="D84" s="74"/>
      <c r="E84" s="74" t="s">
        <v>138</v>
      </c>
      <c r="F84" s="74"/>
      <c r="G84" s="47" t="s">
        <v>139</v>
      </c>
      <c r="H84" s="47"/>
      <c r="I84" s="47"/>
      <c r="J84" s="75"/>
      <c r="K84" s="47"/>
      <c r="L84" s="47"/>
      <c r="M84" s="47"/>
      <c r="N84" s="47"/>
      <c r="O84" s="47">
        <v>5</v>
      </c>
    </row>
    <row r="85" spans="1:15">
      <c r="A85" s="71"/>
      <c r="B85" s="72"/>
      <c r="C85" s="74"/>
      <c r="D85" s="74"/>
      <c r="E85" s="74" t="s">
        <v>140</v>
      </c>
      <c r="F85" s="74"/>
      <c r="G85" s="47"/>
      <c r="H85" s="47"/>
      <c r="I85" s="47"/>
      <c r="J85" s="75"/>
      <c r="K85" s="47"/>
      <c r="L85" s="47"/>
      <c r="M85" s="47"/>
      <c r="N85" s="47"/>
      <c r="O85" s="47">
        <v>3</v>
      </c>
    </row>
    <row r="86" spans="1:15">
      <c r="A86" s="71"/>
      <c r="B86" s="72"/>
      <c r="C86" s="74" t="s">
        <v>141</v>
      </c>
      <c r="D86" s="74"/>
      <c r="E86" s="74"/>
      <c r="F86" s="74"/>
      <c r="G86" s="47" t="s">
        <v>142</v>
      </c>
      <c r="H86" s="47"/>
      <c r="I86" s="47"/>
      <c r="J86" s="75"/>
      <c r="K86" s="47"/>
      <c r="L86" s="47"/>
      <c r="M86" s="47"/>
      <c r="N86" s="47"/>
      <c r="O86" s="47">
        <v>16</v>
      </c>
    </row>
    <row r="87" spans="1:15">
      <c r="A87" s="71"/>
      <c r="B87" s="72"/>
      <c r="C87" s="74" t="s">
        <v>143</v>
      </c>
      <c r="D87" s="74"/>
      <c r="E87" s="74"/>
      <c r="F87" s="74"/>
      <c r="G87" s="47"/>
      <c r="H87" s="47"/>
      <c r="I87" s="47"/>
      <c r="J87" s="75"/>
      <c r="K87" s="47"/>
      <c r="L87" s="47"/>
      <c r="M87" s="47"/>
      <c r="N87" s="47"/>
      <c r="O87" s="47">
        <v>32</v>
      </c>
    </row>
    <row r="88" spans="1:15">
      <c r="A88" s="71"/>
      <c r="B88" s="72"/>
      <c r="C88" s="74" t="s">
        <v>144</v>
      </c>
      <c r="D88" s="74"/>
      <c r="E88" s="74"/>
      <c r="F88" s="74"/>
      <c r="G88" s="47"/>
      <c r="H88" s="47"/>
      <c r="I88" s="47"/>
      <c r="J88" s="75"/>
      <c r="K88" s="47"/>
      <c r="L88" s="47"/>
      <c r="M88" s="47"/>
      <c r="N88" s="47"/>
      <c r="O88" s="47">
        <v>32</v>
      </c>
    </row>
    <row r="89" spans="1:15">
      <c r="A89" s="71"/>
      <c r="B89" s="72"/>
      <c r="C89" s="74" t="s">
        <v>135</v>
      </c>
      <c r="D89" s="15" t="s">
        <v>46</v>
      </c>
      <c r="E89" s="15" t="s">
        <v>61</v>
      </c>
      <c r="F89" s="15" t="s">
        <v>62</v>
      </c>
      <c r="G89" s="47"/>
      <c r="H89" s="47"/>
      <c r="I89" s="47"/>
      <c r="J89" s="75"/>
      <c r="K89" s="47"/>
      <c r="L89" s="47"/>
      <c r="M89" s="47"/>
      <c r="N89" s="47"/>
      <c r="O89" s="47"/>
    </row>
    <row r="90" spans="1:15">
      <c r="A90" s="71"/>
      <c r="B90" s="72"/>
      <c r="C90" s="74"/>
      <c r="D90" s="15" t="s">
        <v>46</v>
      </c>
      <c r="E90" s="15" t="s">
        <v>64</v>
      </c>
      <c r="F90" s="15" t="s">
        <v>65</v>
      </c>
      <c r="G90" s="47"/>
      <c r="H90" s="47"/>
      <c r="I90" s="47"/>
      <c r="J90" s="75"/>
      <c r="K90" s="47"/>
      <c r="L90" s="47"/>
      <c r="M90" s="47"/>
      <c r="N90" s="47"/>
      <c r="O90" s="47"/>
    </row>
    <row r="91" spans="1:15">
      <c r="A91" s="71"/>
      <c r="B91" s="72"/>
      <c r="C91" s="74"/>
      <c r="D91" s="15" t="s">
        <v>145</v>
      </c>
      <c r="E91" s="15"/>
      <c r="F91" s="15"/>
      <c r="G91" s="47"/>
      <c r="H91" s="47"/>
      <c r="I91" s="47"/>
      <c r="J91" s="75"/>
      <c r="K91" s="47"/>
      <c r="L91" s="47"/>
      <c r="M91" s="47"/>
      <c r="N91" s="47"/>
      <c r="O91" s="47">
        <v>1</v>
      </c>
    </row>
    <row r="92" spans="1:15">
      <c r="A92" s="71"/>
      <c r="B92" s="72"/>
      <c r="C92" s="74"/>
      <c r="D92" s="15" t="s">
        <v>46</v>
      </c>
      <c r="E92" s="15" t="s">
        <v>64</v>
      </c>
      <c r="F92" s="15" t="s">
        <v>67</v>
      </c>
      <c r="G92" s="49"/>
      <c r="H92" s="49"/>
      <c r="I92" s="49"/>
      <c r="J92" s="75"/>
      <c r="K92" s="49"/>
      <c r="L92" s="49"/>
      <c r="M92" s="49"/>
      <c r="N92" s="49"/>
      <c r="O92" s="49">
        <v>2</v>
      </c>
    </row>
    <row r="93" spans="1:15">
      <c r="A93" s="71"/>
      <c r="B93" s="72"/>
      <c r="C93" s="74"/>
      <c r="D93" s="15" t="s">
        <v>52</v>
      </c>
      <c r="E93" s="15" t="s">
        <v>68</v>
      </c>
      <c r="F93" s="15" t="s">
        <v>69</v>
      </c>
      <c r="G93" s="49"/>
      <c r="H93" s="49"/>
      <c r="I93" s="49"/>
      <c r="J93" s="75"/>
      <c r="K93" s="49"/>
      <c r="L93" s="49"/>
      <c r="M93" s="49"/>
      <c r="N93" s="49"/>
      <c r="O93" s="49">
        <v>2</v>
      </c>
    </row>
    <row r="94" spans="1:15">
      <c r="A94" s="71"/>
      <c r="B94" s="72"/>
      <c r="C94" s="49" t="s">
        <v>146</v>
      </c>
      <c r="D94" s="49"/>
      <c r="E94" s="49"/>
      <c r="F94" s="49"/>
      <c r="G94" s="49" t="s">
        <v>139</v>
      </c>
      <c r="H94" s="49"/>
      <c r="I94" s="49"/>
      <c r="J94" s="75"/>
      <c r="K94" s="49"/>
      <c r="L94" s="49"/>
      <c r="M94" s="49"/>
      <c r="N94" s="49"/>
      <c r="O94" s="49">
        <v>16</v>
      </c>
    </row>
    <row r="95" spans="1:15">
      <c r="A95" s="71"/>
      <c r="B95" s="72"/>
      <c r="C95" s="49" t="s">
        <v>147</v>
      </c>
      <c r="D95" s="49"/>
      <c r="E95" s="49"/>
      <c r="F95" s="49"/>
      <c r="G95" s="49"/>
      <c r="H95" s="49"/>
      <c r="I95" s="49"/>
      <c r="J95" s="75"/>
      <c r="K95" s="49"/>
      <c r="L95" s="49"/>
      <c r="M95" s="49"/>
      <c r="N95" s="49"/>
      <c r="O95" s="49"/>
    </row>
    <row r="96" spans="1:15">
      <c r="A96" s="71"/>
      <c r="B96" s="72"/>
      <c r="C96" s="49" t="s">
        <v>148</v>
      </c>
      <c r="D96" s="49"/>
      <c r="E96" s="49"/>
      <c r="F96" s="49"/>
      <c r="G96" s="76" t="s">
        <v>142</v>
      </c>
      <c r="H96" s="75"/>
      <c r="I96" s="75"/>
      <c r="J96" s="75"/>
      <c r="K96" s="75"/>
      <c r="L96" s="75"/>
      <c r="M96" s="75"/>
      <c r="N96" s="75"/>
      <c r="O96" s="49">
        <v>32</v>
      </c>
    </row>
    <row r="97" spans="1:15">
      <c r="A97" s="71"/>
      <c r="B97" s="72"/>
      <c r="C97" s="49" t="s">
        <v>149</v>
      </c>
      <c r="D97" s="49"/>
      <c r="E97" s="49"/>
      <c r="F97" s="49"/>
      <c r="G97" s="76"/>
      <c r="H97" s="75"/>
      <c r="I97" s="75"/>
      <c r="J97" s="75"/>
      <c r="K97" s="75"/>
      <c r="L97" s="75"/>
      <c r="M97" s="75"/>
      <c r="N97" s="75"/>
      <c r="O97" s="49">
        <v>1</v>
      </c>
    </row>
  </sheetData>
  <mergeCells count="147">
    <mergeCell ref="A1:O1"/>
    <mergeCell ref="A2:G2"/>
    <mergeCell ref="H2:O2"/>
    <mergeCell ref="A3:G3"/>
    <mergeCell ref="A4:F4"/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E17:F17"/>
    <mergeCell ref="E18:F18"/>
    <mergeCell ref="E19:F19"/>
    <mergeCell ref="C20:F20"/>
    <mergeCell ref="C21:F21"/>
    <mergeCell ref="C22:F22"/>
    <mergeCell ref="C23:F23"/>
    <mergeCell ref="B24:F24"/>
    <mergeCell ref="B25:F25"/>
    <mergeCell ref="E26:F26"/>
    <mergeCell ref="E27:F27"/>
    <mergeCell ref="E28:F28"/>
    <mergeCell ref="E29:F29"/>
    <mergeCell ref="E30:F30"/>
    <mergeCell ref="E31:F31"/>
    <mergeCell ref="C32:F32"/>
    <mergeCell ref="C33:F33"/>
    <mergeCell ref="E34:F34"/>
    <mergeCell ref="D35:F35"/>
    <mergeCell ref="D36:F36"/>
    <mergeCell ref="C37:F37"/>
    <mergeCell ref="D40:F40"/>
    <mergeCell ref="D43:F43"/>
    <mergeCell ref="D44:F44"/>
    <mergeCell ref="D45:F45"/>
    <mergeCell ref="B46:F46"/>
    <mergeCell ref="C47:F47"/>
    <mergeCell ref="C48:F48"/>
    <mergeCell ref="C49:F49"/>
    <mergeCell ref="C50:F50"/>
    <mergeCell ref="C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C63:F63"/>
    <mergeCell ref="C64:F64"/>
    <mergeCell ref="C65:F65"/>
    <mergeCell ref="C66:F66"/>
    <mergeCell ref="D67:F67"/>
    <mergeCell ref="D68:F68"/>
    <mergeCell ref="D69:F69"/>
    <mergeCell ref="C70:F70"/>
    <mergeCell ref="C71:F71"/>
    <mergeCell ref="C72:F72"/>
    <mergeCell ref="C73:F73"/>
    <mergeCell ref="C74:F74"/>
    <mergeCell ref="C75:F75"/>
    <mergeCell ref="B76:F76"/>
    <mergeCell ref="B77:F77"/>
    <mergeCell ref="C80:F80"/>
    <mergeCell ref="C81:F81"/>
    <mergeCell ref="C82:F82"/>
    <mergeCell ref="C83:F83"/>
    <mergeCell ref="E84:F84"/>
    <mergeCell ref="E85:F85"/>
    <mergeCell ref="C86:F86"/>
    <mergeCell ref="C87:F87"/>
    <mergeCell ref="C88:F88"/>
    <mergeCell ref="D91:F91"/>
    <mergeCell ref="C94:F94"/>
    <mergeCell ref="C95:F95"/>
    <mergeCell ref="C96:F96"/>
    <mergeCell ref="C97:F97"/>
    <mergeCell ref="A5:A25"/>
    <mergeCell ref="A26:A60"/>
    <mergeCell ref="A61:A79"/>
    <mergeCell ref="A80:A97"/>
    <mergeCell ref="B6:B11"/>
    <mergeCell ref="B12:B13"/>
    <mergeCell ref="B14:B15"/>
    <mergeCell ref="B16:B19"/>
    <mergeCell ref="B20:B23"/>
    <mergeCell ref="B26:B45"/>
    <mergeCell ref="B47:B51"/>
    <mergeCell ref="B52:B60"/>
    <mergeCell ref="B61:B62"/>
    <mergeCell ref="B64:B66"/>
    <mergeCell ref="B67:B71"/>
    <mergeCell ref="B72:B75"/>
    <mergeCell ref="B80:B83"/>
    <mergeCell ref="B84:B97"/>
    <mergeCell ref="C26:C27"/>
    <mergeCell ref="C28:C31"/>
    <mergeCell ref="C35:C36"/>
    <mergeCell ref="C38:C42"/>
    <mergeCell ref="C43:C45"/>
    <mergeCell ref="C52:C53"/>
    <mergeCell ref="C59:C60"/>
    <mergeCell ref="C89:C93"/>
    <mergeCell ref="D26:D27"/>
    <mergeCell ref="D28:D29"/>
    <mergeCell ref="D30:D31"/>
    <mergeCell ref="G5:G13"/>
    <mergeCell ref="G14:G15"/>
    <mergeCell ref="G17:G24"/>
    <mergeCell ref="G26:G32"/>
    <mergeCell ref="G35:G37"/>
    <mergeCell ref="G38:G42"/>
    <mergeCell ref="G44:G45"/>
    <mergeCell ref="G47:G51"/>
    <mergeCell ref="G52:G53"/>
    <mergeCell ref="G54:G55"/>
    <mergeCell ref="G61:G62"/>
    <mergeCell ref="G64:G66"/>
    <mergeCell ref="G67:G76"/>
    <mergeCell ref="G78:G79"/>
    <mergeCell ref="G84:G85"/>
    <mergeCell ref="G86:G88"/>
    <mergeCell ref="G89:G91"/>
    <mergeCell ref="G94:G95"/>
    <mergeCell ref="G96:G97"/>
    <mergeCell ref="H3:H4"/>
    <mergeCell ref="I3:I4"/>
    <mergeCell ref="J3:J4"/>
    <mergeCell ref="K3:K4"/>
    <mergeCell ref="L3:L4"/>
    <mergeCell ref="M3:M4"/>
    <mergeCell ref="N3:N4"/>
    <mergeCell ref="O3:O4"/>
    <mergeCell ref="B78:E79"/>
    <mergeCell ref="C84:D85"/>
    <mergeCell ref="C17:D1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zoomScale="115" zoomScaleNormal="115" workbookViewId="0">
      <selection activeCell="H3" sqref="H$1:N$1048576"/>
    </sheetView>
  </sheetViews>
  <sheetFormatPr defaultColWidth="9" defaultRowHeight="13.5"/>
  <cols>
    <col min="1" max="7" width="9" style="1"/>
    <col min="8" max="14" width="9" style="1" hidden="1" customWidth="1"/>
    <col min="15" max="16384" width="9" style="1"/>
  </cols>
  <sheetData>
    <row r="1" ht="14.25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4.25" spans="1:15">
      <c r="A2" s="5" t="s">
        <v>1</v>
      </c>
      <c r="B2" s="6"/>
      <c r="C2" s="6"/>
      <c r="D2" s="6"/>
      <c r="E2" s="6"/>
      <c r="F2" s="6"/>
      <c r="G2" s="6"/>
      <c r="H2" s="7" t="s">
        <v>2</v>
      </c>
      <c r="I2" s="7"/>
      <c r="J2" s="7"/>
      <c r="K2" s="7"/>
      <c r="L2" s="7"/>
      <c r="M2" s="7"/>
      <c r="N2" s="7"/>
      <c r="O2" s="7"/>
    </row>
    <row r="3" ht="14.25" spans="1:15">
      <c r="A3" s="5" t="s">
        <v>3</v>
      </c>
      <c r="B3" s="6"/>
      <c r="C3" s="6"/>
      <c r="D3" s="6"/>
      <c r="E3" s="6"/>
      <c r="F3" s="6"/>
      <c r="G3" s="6"/>
      <c r="H3" s="8" t="s">
        <v>4</v>
      </c>
      <c r="I3" s="9" t="s">
        <v>150</v>
      </c>
      <c r="J3" s="10" t="s">
        <v>151</v>
      </c>
      <c r="K3" s="10" t="s">
        <v>7</v>
      </c>
      <c r="L3" s="11" t="s">
        <v>8</v>
      </c>
      <c r="M3" s="10" t="s">
        <v>9</v>
      </c>
      <c r="N3" s="10" t="s">
        <v>10</v>
      </c>
      <c r="O3" s="10" t="s">
        <v>11</v>
      </c>
    </row>
    <row r="4" ht="14.25" spans="1:15">
      <c r="A4" s="5" t="s">
        <v>12</v>
      </c>
      <c r="B4" s="6"/>
      <c r="C4" s="6"/>
      <c r="D4" s="6"/>
      <c r="E4" s="6"/>
      <c r="F4" s="6"/>
      <c r="G4" s="6" t="s">
        <v>13</v>
      </c>
      <c r="H4" s="10"/>
      <c r="I4" s="10"/>
      <c r="J4" s="10"/>
      <c r="K4" s="10"/>
      <c r="L4" s="12"/>
      <c r="M4" s="10"/>
      <c r="N4" s="10"/>
      <c r="O4" s="10"/>
    </row>
    <row r="5" spans="1:15">
      <c r="A5" s="13" t="s">
        <v>14</v>
      </c>
      <c r="B5" s="6" t="s">
        <v>15</v>
      </c>
      <c r="C5" s="6"/>
      <c r="D5" s="6"/>
      <c r="E5" s="6"/>
      <c r="F5" s="6"/>
      <c r="G5" s="6" t="s">
        <v>16</v>
      </c>
      <c r="H5" s="14"/>
      <c r="I5" s="6"/>
      <c r="J5" s="6"/>
      <c r="K5" s="15"/>
      <c r="L5" s="15"/>
      <c r="M5" s="15"/>
      <c r="N5" s="15"/>
      <c r="O5" s="6">
        <f t="shared" ref="O5:O68" si="0">SUM(H5:N5)</f>
        <v>0</v>
      </c>
    </row>
    <row r="6" spans="1:15">
      <c r="A6" s="13"/>
      <c r="B6" s="6" t="s">
        <v>17</v>
      </c>
      <c r="C6" s="6" t="s">
        <v>18</v>
      </c>
      <c r="D6" s="6"/>
      <c r="E6" s="6"/>
      <c r="F6" s="6"/>
      <c r="G6" s="6"/>
      <c r="H6" s="15">
        <v>24</v>
      </c>
      <c r="I6" s="6">
        <v>60</v>
      </c>
      <c r="J6" s="6">
        <v>64</v>
      </c>
      <c r="K6" s="15">
        <v>66</v>
      </c>
      <c r="L6" s="15">
        <v>276</v>
      </c>
      <c r="M6" s="15">
        <v>33</v>
      </c>
      <c r="N6" s="15"/>
      <c r="O6" s="6">
        <f t="shared" si="0"/>
        <v>523</v>
      </c>
    </row>
    <row r="7" spans="1:15">
      <c r="A7" s="13"/>
      <c r="B7" s="6"/>
      <c r="C7" s="6" t="s">
        <v>19</v>
      </c>
      <c r="D7" s="6"/>
      <c r="E7" s="6"/>
      <c r="F7" s="6"/>
      <c r="G7" s="6"/>
      <c r="H7" s="15"/>
      <c r="I7" s="6"/>
      <c r="J7" s="6"/>
      <c r="K7" s="15"/>
      <c r="L7" s="15"/>
      <c r="M7" s="15"/>
      <c r="N7" s="15"/>
      <c r="O7" s="6">
        <f t="shared" si="0"/>
        <v>0</v>
      </c>
    </row>
    <row r="8" spans="1:15">
      <c r="A8" s="13"/>
      <c r="B8" s="6"/>
      <c r="C8" s="6" t="s">
        <v>20</v>
      </c>
      <c r="D8" s="6"/>
      <c r="E8" s="6"/>
      <c r="F8" s="6"/>
      <c r="G8" s="6"/>
      <c r="H8" s="15"/>
      <c r="I8" s="6"/>
      <c r="J8" s="6"/>
      <c r="K8" s="15"/>
      <c r="L8" s="15"/>
      <c r="M8" s="15"/>
      <c r="N8" s="15"/>
      <c r="O8" s="6">
        <f t="shared" si="0"/>
        <v>0</v>
      </c>
    </row>
    <row r="9" spans="1:15">
      <c r="A9" s="13"/>
      <c r="B9" s="6"/>
      <c r="C9" s="6" t="s">
        <v>21</v>
      </c>
      <c r="D9" s="6"/>
      <c r="E9" s="6"/>
      <c r="F9" s="6"/>
      <c r="G9" s="6"/>
      <c r="H9" s="15"/>
      <c r="I9" s="6"/>
      <c r="J9" s="6"/>
      <c r="K9" s="15"/>
      <c r="L9" s="15"/>
      <c r="M9" s="15"/>
      <c r="N9" s="15"/>
      <c r="O9" s="6">
        <f t="shared" si="0"/>
        <v>0</v>
      </c>
    </row>
    <row r="10" spans="1:15">
      <c r="A10" s="13"/>
      <c r="B10" s="6"/>
      <c r="C10" s="6" t="s">
        <v>22</v>
      </c>
      <c r="D10" s="6"/>
      <c r="E10" s="6"/>
      <c r="F10" s="6"/>
      <c r="G10" s="6"/>
      <c r="H10" s="15"/>
      <c r="I10" s="6">
        <v>15</v>
      </c>
      <c r="J10" s="6">
        <v>170</v>
      </c>
      <c r="K10" s="15"/>
      <c r="L10" s="15">
        <v>90</v>
      </c>
      <c r="M10" s="15">
        <v>9</v>
      </c>
      <c r="N10" s="15">
        <v>6</v>
      </c>
      <c r="O10" s="6">
        <f t="shared" si="0"/>
        <v>290</v>
      </c>
    </row>
    <row r="11" spans="1:15">
      <c r="A11" s="16"/>
      <c r="B11" s="17"/>
      <c r="C11" s="17" t="s">
        <v>23</v>
      </c>
      <c r="D11" s="17"/>
      <c r="E11" s="17"/>
      <c r="F11" s="17"/>
      <c r="G11" s="17"/>
      <c r="H11" s="15">
        <v>24</v>
      </c>
      <c r="I11" s="6">
        <f>SUM(I5:I10)</f>
        <v>75</v>
      </c>
      <c r="J11" s="6">
        <f>SUM(J5:J10)</f>
        <v>234</v>
      </c>
      <c r="K11" s="15">
        <v>66</v>
      </c>
      <c r="L11" s="15">
        <v>356</v>
      </c>
      <c r="M11" s="15">
        <v>42</v>
      </c>
      <c r="N11" s="15">
        <v>6</v>
      </c>
      <c r="O11" s="6">
        <f t="shared" si="0"/>
        <v>803</v>
      </c>
    </row>
    <row r="12" spans="1:15">
      <c r="A12" s="13"/>
      <c r="B12" s="6" t="s">
        <v>24</v>
      </c>
      <c r="C12" s="6" t="s">
        <v>25</v>
      </c>
      <c r="D12" s="6"/>
      <c r="E12" s="6"/>
      <c r="F12" s="6"/>
      <c r="G12" s="6"/>
      <c r="H12" s="15"/>
      <c r="I12" s="6"/>
      <c r="J12" s="6"/>
      <c r="K12" s="15"/>
      <c r="L12" s="15"/>
      <c r="M12" s="15"/>
      <c r="N12" s="15"/>
      <c r="O12" s="6">
        <f t="shared" si="0"/>
        <v>0</v>
      </c>
    </row>
    <row r="13" spans="1:15">
      <c r="A13" s="13"/>
      <c r="B13" s="6"/>
      <c r="C13" s="6" t="s">
        <v>23</v>
      </c>
      <c r="D13" s="6"/>
      <c r="E13" s="6"/>
      <c r="F13" s="6"/>
      <c r="G13" s="6"/>
      <c r="H13" s="15"/>
      <c r="I13" s="6"/>
      <c r="J13" s="6"/>
      <c r="K13" s="15"/>
      <c r="L13" s="15"/>
      <c r="M13" s="15"/>
      <c r="N13" s="15"/>
      <c r="O13" s="6">
        <f t="shared" si="0"/>
        <v>0</v>
      </c>
    </row>
    <row r="14" spans="1:15">
      <c r="A14" s="13"/>
      <c r="B14" s="6" t="s">
        <v>26</v>
      </c>
      <c r="C14" s="6" t="s">
        <v>27</v>
      </c>
      <c r="D14" s="6"/>
      <c r="E14" s="6"/>
      <c r="F14" s="6"/>
      <c r="G14" s="6" t="s">
        <v>152</v>
      </c>
      <c r="H14" s="15"/>
      <c r="I14" s="6"/>
      <c r="J14" s="6"/>
      <c r="K14" s="15">
        <v>1600</v>
      </c>
      <c r="L14" s="15"/>
      <c r="M14" s="15"/>
      <c r="N14" s="15"/>
      <c r="O14" s="6">
        <f t="shared" si="0"/>
        <v>1600</v>
      </c>
    </row>
    <row r="15" spans="1:15">
      <c r="A15" s="13"/>
      <c r="B15" s="6"/>
      <c r="C15" s="6" t="s">
        <v>29</v>
      </c>
      <c r="D15" s="6"/>
      <c r="E15" s="6"/>
      <c r="F15" s="6"/>
      <c r="G15" s="6"/>
      <c r="H15" s="15"/>
      <c r="I15" s="6"/>
      <c r="J15" s="6"/>
      <c r="K15" s="15">
        <v>876</v>
      </c>
      <c r="L15" s="15"/>
      <c r="M15" s="15">
        <v>4500</v>
      </c>
      <c r="N15" s="15">
        <v>1200</v>
      </c>
      <c r="O15" s="6">
        <f t="shared" si="0"/>
        <v>6576</v>
      </c>
    </row>
    <row r="16" spans="1:15">
      <c r="A16" s="13"/>
      <c r="B16" s="18" t="s">
        <v>30</v>
      </c>
      <c r="C16" s="6" t="s">
        <v>31</v>
      </c>
      <c r="D16" s="6"/>
      <c r="E16" s="6"/>
      <c r="F16" s="6"/>
      <c r="G16" s="6" t="s">
        <v>32</v>
      </c>
      <c r="H16" s="15"/>
      <c r="I16" s="6"/>
      <c r="J16" s="6"/>
      <c r="K16" s="15">
        <v>100</v>
      </c>
      <c r="L16" s="15">
        <v>300</v>
      </c>
      <c r="M16" s="15">
        <v>150</v>
      </c>
      <c r="N16" s="15">
        <v>100</v>
      </c>
      <c r="O16" s="6">
        <f t="shared" si="0"/>
        <v>650</v>
      </c>
    </row>
    <row r="17" spans="1:15">
      <c r="A17" s="13"/>
      <c r="B17" s="18"/>
      <c r="C17" s="19" t="s">
        <v>33</v>
      </c>
      <c r="D17" s="19"/>
      <c r="E17" s="18" t="s">
        <v>34</v>
      </c>
      <c r="F17" s="18"/>
      <c r="G17" s="20" t="s">
        <v>35</v>
      </c>
      <c r="H17" s="21"/>
      <c r="I17" s="20"/>
      <c r="J17" s="20"/>
      <c r="K17" s="21">
        <v>252</v>
      </c>
      <c r="L17" s="21">
        <v>756</v>
      </c>
      <c r="M17" s="21">
        <v>378</v>
      </c>
      <c r="N17" s="21">
        <v>252</v>
      </c>
      <c r="O17" s="6">
        <f t="shared" si="0"/>
        <v>1638</v>
      </c>
    </row>
    <row r="18" spans="1:15">
      <c r="A18" s="13"/>
      <c r="B18" s="18"/>
      <c r="C18" s="19"/>
      <c r="D18" s="19"/>
      <c r="E18" s="18" t="s">
        <v>36</v>
      </c>
      <c r="F18" s="22"/>
      <c r="G18" s="20"/>
      <c r="H18" s="21"/>
      <c r="I18" s="20"/>
      <c r="J18" s="20"/>
      <c r="K18" s="21">
        <v>1320</v>
      </c>
      <c r="L18" s="21">
        <v>3230</v>
      </c>
      <c r="M18" s="21">
        <v>3780</v>
      </c>
      <c r="N18" s="21">
        <v>2520</v>
      </c>
      <c r="O18" s="6">
        <f t="shared" si="0"/>
        <v>10850</v>
      </c>
    </row>
    <row r="19" spans="1:15">
      <c r="A19" s="13"/>
      <c r="B19" s="18"/>
      <c r="C19" s="19"/>
      <c r="D19" s="19"/>
      <c r="E19" s="18" t="s">
        <v>37</v>
      </c>
      <c r="F19" s="18"/>
      <c r="G19" s="20"/>
      <c r="H19" s="21"/>
      <c r="I19" s="20"/>
      <c r="J19" s="20"/>
      <c r="K19" s="21">
        <v>120</v>
      </c>
      <c r="L19" s="21">
        <v>360</v>
      </c>
      <c r="M19" s="21">
        <v>180</v>
      </c>
      <c r="N19" s="21">
        <v>120</v>
      </c>
      <c r="O19" s="6">
        <f t="shared" si="0"/>
        <v>780</v>
      </c>
    </row>
    <row r="20" spans="1:15">
      <c r="A20" s="13"/>
      <c r="B20" s="18" t="s">
        <v>38</v>
      </c>
      <c r="C20" s="23" t="s">
        <v>31</v>
      </c>
      <c r="D20" s="24"/>
      <c r="E20" s="24"/>
      <c r="F20" s="25"/>
      <c r="G20" s="20"/>
      <c r="H20" s="21">
        <v>200</v>
      </c>
      <c r="I20" s="20"/>
      <c r="J20" s="20"/>
      <c r="K20" s="21">
        <v>300</v>
      </c>
      <c r="L20" s="21">
        <v>100</v>
      </c>
      <c r="M20" s="21"/>
      <c r="N20" s="21"/>
      <c r="O20" s="6">
        <f t="shared" si="0"/>
        <v>600</v>
      </c>
    </row>
    <row r="21" spans="1:15">
      <c r="A21" s="13"/>
      <c r="B21" s="18"/>
      <c r="C21" s="23" t="s">
        <v>36</v>
      </c>
      <c r="D21" s="24"/>
      <c r="E21" s="24"/>
      <c r="F21" s="25"/>
      <c r="G21" s="20"/>
      <c r="H21" s="21">
        <v>850</v>
      </c>
      <c r="I21" s="20"/>
      <c r="J21" s="20"/>
      <c r="K21" s="21"/>
      <c r="L21" s="21">
        <v>250</v>
      </c>
      <c r="M21" s="21"/>
      <c r="N21" s="21"/>
      <c r="O21" s="6">
        <f t="shared" si="0"/>
        <v>1100</v>
      </c>
    </row>
    <row r="22" spans="1:15">
      <c r="A22" s="13"/>
      <c r="B22" s="18"/>
      <c r="C22" s="23" t="s">
        <v>37</v>
      </c>
      <c r="D22" s="24"/>
      <c r="E22" s="24"/>
      <c r="F22" s="25"/>
      <c r="G22" s="20"/>
      <c r="H22" s="21">
        <v>1120</v>
      </c>
      <c r="I22" s="21"/>
      <c r="J22" s="21"/>
      <c r="K22" s="21">
        <v>4760</v>
      </c>
      <c r="L22" s="21">
        <v>630</v>
      </c>
      <c r="M22" s="21"/>
      <c r="N22" s="21"/>
      <c r="O22" s="6">
        <f t="shared" si="0"/>
        <v>6510</v>
      </c>
    </row>
    <row r="23" spans="1:15">
      <c r="A23" s="13"/>
      <c r="B23" s="18"/>
      <c r="C23" s="18" t="s">
        <v>39</v>
      </c>
      <c r="D23" s="18"/>
      <c r="E23" s="18"/>
      <c r="F23" s="18"/>
      <c r="G23" s="20"/>
      <c r="H23" s="21">
        <v>230</v>
      </c>
      <c r="I23" s="21"/>
      <c r="J23" s="21"/>
      <c r="K23" s="21">
        <v>395</v>
      </c>
      <c r="L23" s="21">
        <v>120</v>
      </c>
      <c r="M23" s="21"/>
      <c r="N23" s="21"/>
      <c r="O23" s="6">
        <f t="shared" si="0"/>
        <v>745</v>
      </c>
    </row>
    <row r="24" spans="1:15">
      <c r="A24" s="13"/>
      <c r="B24" s="6" t="s">
        <v>40</v>
      </c>
      <c r="C24" s="6"/>
      <c r="D24" s="6"/>
      <c r="E24" s="6"/>
      <c r="F24" s="6"/>
      <c r="G24" s="20"/>
      <c r="H24" s="21">
        <v>100</v>
      </c>
      <c r="I24" s="21"/>
      <c r="J24" s="21"/>
      <c r="K24" s="21">
        <v>210</v>
      </c>
      <c r="L24" s="21">
        <v>100</v>
      </c>
      <c r="M24" s="21">
        <v>1260</v>
      </c>
      <c r="N24" s="21">
        <v>960</v>
      </c>
      <c r="O24" s="6">
        <f t="shared" si="0"/>
        <v>2630</v>
      </c>
    </row>
    <row r="25" spans="1:15">
      <c r="A25" s="13"/>
      <c r="B25" s="6" t="s">
        <v>41</v>
      </c>
      <c r="C25" s="6"/>
      <c r="D25" s="6"/>
      <c r="E25" s="6"/>
      <c r="F25" s="6"/>
      <c r="G25" s="6" t="s">
        <v>42</v>
      </c>
      <c r="H25" s="15">
        <v>100</v>
      </c>
      <c r="I25" s="15">
        <v>3500</v>
      </c>
      <c r="J25" s="15">
        <v>9000</v>
      </c>
      <c r="K25" s="15">
        <v>300</v>
      </c>
      <c r="L25" s="15">
        <v>200</v>
      </c>
      <c r="M25" s="15">
        <v>100</v>
      </c>
      <c r="N25" s="15">
        <v>300</v>
      </c>
      <c r="O25" s="6">
        <f t="shared" si="0"/>
        <v>13500</v>
      </c>
    </row>
    <row r="26" spans="1:15">
      <c r="A26" s="13" t="s">
        <v>43</v>
      </c>
      <c r="B26" s="6" t="s">
        <v>44</v>
      </c>
      <c r="C26" s="6" t="s">
        <v>45</v>
      </c>
      <c r="D26" s="6" t="s">
        <v>46</v>
      </c>
      <c r="E26" s="6" t="s">
        <v>47</v>
      </c>
      <c r="F26" s="6"/>
      <c r="G26" s="6" t="s">
        <v>32</v>
      </c>
      <c r="H26" s="15">
        <f>735+527</f>
        <v>1262</v>
      </c>
      <c r="I26" s="15">
        <v>1950</v>
      </c>
      <c r="J26" s="15">
        <v>3700</v>
      </c>
      <c r="K26" s="15">
        <v>2061</v>
      </c>
      <c r="L26" s="15"/>
      <c r="M26" s="15">
        <v>1164</v>
      </c>
      <c r="N26" s="15">
        <v>40</v>
      </c>
      <c r="O26" s="6">
        <f t="shared" si="0"/>
        <v>10177</v>
      </c>
    </row>
    <row r="27" spans="1:15">
      <c r="A27" s="13"/>
      <c r="B27" s="6"/>
      <c r="C27" s="6"/>
      <c r="D27" s="6"/>
      <c r="E27" s="6" t="s">
        <v>48</v>
      </c>
      <c r="F27" s="6"/>
      <c r="G27" s="6"/>
      <c r="H27" s="15"/>
      <c r="I27" s="15"/>
      <c r="J27" s="15"/>
      <c r="K27" s="15"/>
      <c r="L27" s="15"/>
      <c r="M27" s="15"/>
      <c r="N27" s="15"/>
      <c r="O27" s="6">
        <f t="shared" si="0"/>
        <v>0</v>
      </c>
    </row>
    <row r="28" spans="1:15">
      <c r="A28" s="13"/>
      <c r="B28" s="6"/>
      <c r="C28" s="6" t="s">
        <v>49</v>
      </c>
      <c r="D28" s="6" t="s">
        <v>46</v>
      </c>
      <c r="E28" s="6" t="s">
        <v>50</v>
      </c>
      <c r="F28" s="6"/>
      <c r="G28" s="6"/>
      <c r="H28" s="15"/>
      <c r="I28" s="15"/>
      <c r="J28" s="15"/>
      <c r="K28" s="15"/>
      <c r="L28" s="15"/>
      <c r="M28" s="15"/>
      <c r="N28" s="15"/>
      <c r="O28" s="6">
        <f t="shared" si="0"/>
        <v>0</v>
      </c>
    </row>
    <row r="29" spans="1:15">
      <c r="A29" s="13"/>
      <c r="B29" s="6"/>
      <c r="C29" s="6"/>
      <c r="D29" s="6"/>
      <c r="E29" s="6" t="s">
        <v>51</v>
      </c>
      <c r="F29" s="6"/>
      <c r="G29" s="6"/>
      <c r="H29" s="15"/>
      <c r="I29" s="15"/>
      <c r="J29" s="15"/>
      <c r="K29" s="15"/>
      <c r="L29" s="15"/>
      <c r="M29" s="15"/>
      <c r="N29" s="15"/>
      <c r="O29" s="6">
        <f t="shared" si="0"/>
        <v>0</v>
      </c>
    </row>
    <row r="30" spans="1:15">
      <c r="A30" s="13"/>
      <c r="B30" s="6"/>
      <c r="C30" s="6"/>
      <c r="D30" s="6" t="s">
        <v>52</v>
      </c>
      <c r="E30" s="6" t="s">
        <v>50</v>
      </c>
      <c r="F30" s="6"/>
      <c r="G30" s="6"/>
      <c r="H30" s="15"/>
      <c r="I30" s="15"/>
      <c r="J30" s="15"/>
      <c r="K30" s="15"/>
      <c r="L30" s="15"/>
      <c r="M30" s="15"/>
      <c r="N30" s="15"/>
      <c r="O30" s="6">
        <f t="shared" si="0"/>
        <v>0</v>
      </c>
    </row>
    <row r="31" spans="1:15">
      <c r="A31" s="13"/>
      <c r="B31" s="6"/>
      <c r="C31" s="6"/>
      <c r="D31" s="6"/>
      <c r="E31" s="6" t="s">
        <v>51</v>
      </c>
      <c r="F31" s="6"/>
      <c r="G31" s="6"/>
      <c r="H31" s="15"/>
      <c r="I31" s="15"/>
      <c r="J31" s="15">
        <v>1300</v>
      </c>
      <c r="K31" s="15">
        <v>105</v>
      </c>
      <c r="L31" s="15">
        <v>4370</v>
      </c>
      <c r="M31" s="15"/>
      <c r="N31" s="15"/>
      <c r="O31" s="6">
        <f t="shared" si="0"/>
        <v>5775</v>
      </c>
    </row>
    <row r="32" spans="1:15">
      <c r="A32" s="13"/>
      <c r="B32" s="6"/>
      <c r="C32" s="6" t="s">
        <v>23</v>
      </c>
      <c r="D32" s="6"/>
      <c r="E32" s="6"/>
      <c r="F32" s="6"/>
      <c r="G32" s="6"/>
      <c r="H32" s="15">
        <v>1262</v>
      </c>
      <c r="I32" s="15">
        <f t="shared" ref="I32:N32" si="1">SUM(I26:I31)</f>
        <v>1950</v>
      </c>
      <c r="J32" s="15">
        <f t="shared" si="1"/>
        <v>5000</v>
      </c>
      <c r="K32" s="15">
        <f t="shared" si="1"/>
        <v>2166</v>
      </c>
      <c r="L32" s="15">
        <f t="shared" si="1"/>
        <v>4370</v>
      </c>
      <c r="M32" s="15">
        <f t="shared" si="1"/>
        <v>1164</v>
      </c>
      <c r="N32" s="15">
        <f t="shared" si="1"/>
        <v>40</v>
      </c>
      <c r="O32" s="6">
        <f t="shared" si="0"/>
        <v>15952</v>
      </c>
    </row>
    <row r="33" spans="1:15">
      <c r="A33" s="13"/>
      <c r="B33" s="6"/>
      <c r="C33" s="6" t="s">
        <v>53</v>
      </c>
      <c r="D33" s="6"/>
      <c r="E33" s="6"/>
      <c r="F33" s="6"/>
      <c r="G33" s="6" t="s">
        <v>32</v>
      </c>
      <c r="H33" s="15"/>
      <c r="I33" s="15"/>
      <c r="J33" s="15"/>
      <c r="K33" s="15"/>
      <c r="L33" s="15"/>
      <c r="M33" s="15"/>
      <c r="N33" s="15"/>
      <c r="O33" s="6">
        <f t="shared" si="0"/>
        <v>0</v>
      </c>
    </row>
    <row r="34" spans="1:15">
      <c r="A34" s="13"/>
      <c r="B34" s="6"/>
      <c r="C34" s="6" t="s">
        <v>54</v>
      </c>
      <c r="D34" s="6" t="s">
        <v>55</v>
      </c>
      <c r="E34" s="6" t="s">
        <v>56</v>
      </c>
      <c r="F34" s="6"/>
      <c r="G34" s="6" t="s">
        <v>57</v>
      </c>
      <c r="H34" s="15"/>
      <c r="I34" s="15"/>
      <c r="J34" s="15"/>
      <c r="K34" s="15"/>
      <c r="L34" s="15">
        <v>2</v>
      </c>
      <c r="M34" s="15"/>
      <c r="N34" s="15"/>
      <c r="O34" s="6">
        <f t="shared" si="0"/>
        <v>2</v>
      </c>
    </row>
    <row r="35" spans="1:15">
      <c r="A35" s="13"/>
      <c r="B35" s="6"/>
      <c r="C35" s="6" t="s">
        <v>58</v>
      </c>
      <c r="D35" s="6" t="s">
        <v>46</v>
      </c>
      <c r="E35" s="6"/>
      <c r="F35" s="6"/>
      <c r="G35" s="6" t="s">
        <v>32</v>
      </c>
      <c r="H35" s="15">
        <v>110</v>
      </c>
      <c r="I35" s="15"/>
      <c r="J35" s="15"/>
      <c r="K35" s="15">
        <v>56</v>
      </c>
      <c r="L35" s="15"/>
      <c r="M35" s="15"/>
      <c r="N35" s="15">
        <v>100</v>
      </c>
      <c r="O35" s="6">
        <f t="shared" si="0"/>
        <v>266</v>
      </c>
    </row>
    <row r="36" spans="1:15">
      <c r="A36" s="13"/>
      <c r="B36" s="6"/>
      <c r="C36" s="6"/>
      <c r="D36" s="6" t="s">
        <v>52</v>
      </c>
      <c r="E36" s="6"/>
      <c r="F36" s="6"/>
      <c r="G36" s="6"/>
      <c r="H36" s="27">
        <v>105</v>
      </c>
      <c r="I36" s="27"/>
      <c r="J36" s="27"/>
      <c r="K36" s="27">
        <v>105</v>
      </c>
      <c r="L36" s="27"/>
      <c r="M36" s="27"/>
      <c r="N36" s="27"/>
      <c r="O36" s="6">
        <f t="shared" si="0"/>
        <v>210</v>
      </c>
    </row>
    <row r="37" spans="1:15">
      <c r="A37" s="13"/>
      <c r="B37" s="6"/>
      <c r="C37" s="6" t="s">
        <v>59</v>
      </c>
      <c r="D37" s="6"/>
      <c r="E37" s="6"/>
      <c r="F37" s="6"/>
      <c r="G37" s="6"/>
      <c r="H37" s="27"/>
      <c r="I37" s="27"/>
      <c r="J37" s="27"/>
      <c r="K37" s="27"/>
      <c r="L37" s="27"/>
      <c r="M37" s="27"/>
      <c r="N37" s="27"/>
      <c r="O37" s="6">
        <f t="shared" si="0"/>
        <v>0</v>
      </c>
    </row>
    <row r="38" spans="1:15">
      <c r="A38" s="13"/>
      <c r="B38" s="6"/>
      <c r="C38" s="6" t="s">
        <v>60</v>
      </c>
      <c r="D38" s="6" t="s">
        <v>46</v>
      </c>
      <c r="E38" s="6" t="s">
        <v>61</v>
      </c>
      <c r="F38" s="6" t="s">
        <v>62</v>
      </c>
      <c r="G38" s="6" t="s">
        <v>63</v>
      </c>
      <c r="H38" s="29"/>
      <c r="I38" s="29"/>
      <c r="J38" s="29"/>
      <c r="K38" s="29"/>
      <c r="L38" s="29"/>
      <c r="M38" s="29"/>
      <c r="N38" s="29"/>
      <c r="O38" s="6">
        <f t="shared" si="0"/>
        <v>0</v>
      </c>
    </row>
    <row r="39" spans="1:15">
      <c r="A39" s="13"/>
      <c r="B39" s="6"/>
      <c r="C39" s="6"/>
      <c r="D39" s="6" t="s">
        <v>46</v>
      </c>
      <c r="E39" s="6" t="s">
        <v>64</v>
      </c>
      <c r="F39" s="6" t="s">
        <v>65</v>
      </c>
      <c r="G39" s="6"/>
      <c r="H39" s="31"/>
      <c r="I39" s="31"/>
      <c r="J39" s="31"/>
      <c r="K39" s="31"/>
      <c r="L39" s="31"/>
      <c r="M39" s="31"/>
      <c r="N39" s="31"/>
      <c r="O39" s="6">
        <f t="shared" si="0"/>
        <v>0</v>
      </c>
    </row>
    <row r="40" spans="1:15">
      <c r="A40" s="13"/>
      <c r="B40" s="6"/>
      <c r="C40" s="6"/>
      <c r="D40" s="6" t="s">
        <v>66</v>
      </c>
      <c r="E40" s="6"/>
      <c r="F40" s="6"/>
      <c r="G40" s="6"/>
      <c r="H40" s="29"/>
      <c r="I40" s="30"/>
      <c r="J40" s="30"/>
      <c r="K40" s="29">
        <v>1</v>
      </c>
      <c r="L40" s="29"/>
      <c r="M40" s="29"/>
      <c r="N40" s="29"/>
      <c r="O40" s="6">
        <f t="shared" si="0"/>
        <v>1</v>
      </c>
    </row>
    <row r="41" spans="1:15">
      <c r="A41" s="13"/>
      <c r="B41" s="6"/>
      <c r="C41" s="6"/>
      <c r="D41" s="6" t="s">
        <v>46</v>
      </c>
      <c r="E41" s="6" t="s">
        <v>64</v>
      </c>
      <c r="F41" s="6" t="s">
        <v>67</v>
      </c>
      <c r="G41" s="6"/>
      <c r="H41" s="29">
        <v>7</v>
      </c>
      <c r="I41" s="30">
        <v>4</v>
      </c>
      <c r="J41" s="30">
        <v>8</v>
      </c>
      <c r="K41" s="29">
        <v>8</v>
      </c>
      <c r="L41" s="29"/>
      <c r="M41" s="29">
        <v>9</v>
      </c>
      <c r="N41" s="29">
        <v>2</v>
      </c>
      <c r="O41" s="6">
        <f t="shared" si="0"/>
        <v>38</v>
      </c>
    </row>
    <row r="42" spans="1:15">
      <c r="A42" s="13"/>
      <c r="B42" s="6"/>
      <c r="C42" s="6"/>
      <c r="D42" s="6" t="s">
        <v>52</v>
      </c>
      <c r="E42" s="6" t="s">
        <v>68</v>
      </c>
      <c r="F42" s="6" t="s">
        <v>69</v>
      </c>
      <c r="G42" s="6"/>
      <c r="H42" s="29"/>
      <c r="I42" s="30"/>
      <c r="J42" s="30">
        <v>2</v>
      </c>
      <c r="K42" s="29"/>
      <c r="L42" s="29">
        <v>4</v>
      </c>
      <c r="M42" s="29"/>
      <c r="N42" s="29"/>
      <c r="O42" s="6">
        <f t="shared" si="0"/>
        <v>6</v>
      </c>
    </row>
    <row r="43" spans="1:15">
      <c r="A43" s="13"/>
      <c r="B43" s="6"/>
      <c r="C43" s="33" t="s">
        <v>70</v>
      </c>
      <c r="D43" s="6" t="s">
        <v>153</v>
      </c>
      <c r="E43" s="6"/>
      <c r="F43" s="6"/>
      <c r="G43" s="6"/>
      <c r="H43" s="29"/>
      <c r="I43" s="30"/>
      <c r="J43" s="30"/>
      <c r="K43" s="29"/>
      <c r="L43" s="29"/>
      <c r="M43" s="29"/>
      <c r="N43" s="29"/>
      <c r="O43" s="6">
        <f t="shared" si="0"/>
        <v>0</v>
      </c>
    </row>
    <row r="44" spans="1:15">
      <c r="A44" s="13"/>
      <c r="B44" s="6"/>
      <c r="C44" s="34"/>
      <c r="D44" s="6" t="s">
        <v>72</v>
      </c>
      <c r="E44" s="6"/>
      <c r="F44" s="6"/>
      <c r="G44" s="6" t="s">
        <v>63</v>
      </c>
      <c r="H44" s="29">
        <v>3</v>
      </c>
      <c r="I44" s="30"/>
      <c r="J44" s="30"/>
      <c r="K44" s="29">
        <v>1</v>
      </c>
      <c r="L44" s="29"/>
      <c r="M44" s="29"/>
      <c r="N44" s="29">
        <v>1</v>
      </c>
      <c r="O44" s="6">
        <f t="shared" si="0"/>
        <v>5</v>
      </c>
    </row>
    <row r="45" spans="1:15">
      <c r="A45" s="13"/>
      <c r="B45" s="6"/>
      <c r="C45" s="35"/>
      <c r="D45" s="6" t="s">
        <v>73</v>
      </c>
      <c r="E45" s="6"/>
      <c r="F45" s="6"/>
      <c r="G45" s="6"/>
      <c r="H45" s="29"/>
      <c r="I45" s="30"/>
      <c r="J45" s="30"/>
      <c r="K45" s="29"/>
      <c r="L45" s="29"/>
      <c r="M45" s="29"/>
      <c r="N45" s="29"/>
      <c r="O45" s="6">
        <f t="shared" si="0"/>
        <v>0</v>
      </c>
    </row>
    <row r="46" spans="1:15">
      <c r="A46" s="13"/>
      <c r="B46" s="6" t="s">
        <v>74</v>
      </c>
      <c r="C46" s="6"/>
      <c r="D46" s="6"/>
      <c r="E46" s="6"/>
      <c r="F46" s="6"/>
      <c r="G46" s="6" t="s">
        <v>35</v>
      </c>
      <c r="H46" s="29">
        <v>150</v>
      </c>
      <c r="I46" s="30"/>
      <c r="J46" s="30"/>
      <c r="K46" s="29"/>
      <c r="L46" s="29"/>
      <c r="M46" s="29"/>
      <c r="N46" s="29"/>
      <c r="O46" s="6">
        <f t="shared" si="0"/>
        <v>150</v>
      </c>
    </row>
    <row r="47" spans="1:15">
      <c r="A47" s="13"/>
      <c r="B47" s="6" t="s">
        <v>75</v>
      </c>
      <c r="C47" s="6" t="s">
        <v>76</v>
      </c>
      <c r="D47" s="6"/>
      <c r="E47" s="6"/>
      <c r="F47" s="6"/>
      <c r="G47" s="6" t="s">
        <v>154</v>
      </c>
      <c r="H47" s="29">
        <v>2446</v>
      </c>
      <c r="I47" s="30">
        <v>4224</v>
      </c>
      <c r="J47" s="30">
        <v>10560</v>
      </c>
      <c r="K47" s="29">
        <v>5525</v>
      </c>
      <c r="L47" s="29">
        <v>6049</v>
      </c>
      <c r="M47" s="29">
        <v>3286</v>
      </c>
      <c r="N47" s="29">
        <v>130</v>
      </c>
      <c r="O47" s="6">
        <f t="shared" si="0"/>
        <v>32220</v>
      </c>
    </row>
    <row r="48" spans="1:15">
      <c r="A48" s="13"/>
      <c r="B48" s="6"/>
      <c r="C48" s="6" t="s">
        <v>78</v>
      </c>
      <c r="D48" s="6"/>
      <c r="E48" s="6"/>
      <c r="F48" s="6"/>
      <c r="G48" s="6"/>
      <c r="H48" s="29">
        <v>200</v>
      </c>
      <c r="I48" s="30">
        <v>730</v>
      </c>
      <c r="J48" s="30">
        <v>1824</v>
      </c>
      <c r="K48" s="29">
        <v>200</v>
      </c>
      <c r="L48" s="29">
        <v>437</v>
      </c>
      <c r="M48" s="29">
        <v>324</v>
      </c>
      <c r="N48" s="29">
        <v>50</v>
      </c>
      <c r="O48" s="6">
        <f t="shared" si="0"/>
        <v>3765</v>
      </c>
    </row>
    <row r="49" spans="1:15">
      <c r="A49" s="13"/>
      <c r="B49" s="6"/>
      <c r="C49" s="6" t="s">
        <v>79</v>
      </c>
      <c r="D49" s="6"/>
      <c r="E49" s="6"/>
      <c r="F49" s="6"/>
      <c r="G49" s="6"/>
      <c r="H49" s="29">
        <v>100</v>
      </c>
      <c r="I49" s="30"/>
      <c r="J49" s="30"/>
      <c r="K49" s="29">
        <v>100</v>
      </c>
      <c r="L49" s="29">
        <v>100</v>
      </c>
      <c r="M49" s="29">
        <v>180</v>
      </c>
      <c r="N49" s="29"/>
      <c r="O49" s="6">
        <f t="shared" si="0"/>
        <v>480</v>
      </c>
    </row>
    <row r="50" spans="1:15">
      <c r="A50" s="13"/>
      <c r="B50" s="6"/>
      <c r="C50" s="6" t="s">
        <v>80</v>
      </c>
      <c r="D50" s="6"/>
      <c r="E50" s="6"/>
      <c r="F50" s="6"/>
      <c r="G50" s="6"/>
      <c r="H50" s="29">
        <v>150</v>
      </c>
      <c r="I50" s="30"/>
      <c r="J50" s="30"/>
      <c r="K50" s="29"/>
      <c r="L50" s="29"/>
      <c r="M50" s="29"/>
      <c r="N50" s="29"/>
      <c r="O50" s="6">
        <f t="shared" si="0"/>
        <v>150</v>
      </c>
    </row>
    <row r="51" spans="1:15">
      <c r="A51" s="13"/>
      <c r="B51" s="6"/>
      <c r="C51" s="6" t="s">
        <v>23</v>
      </c>
      <c r="D51" s="6"/>
      <c r="E51" s="6"/>
      <c r="F51" s="6"/>
      <c r="G51" s="6"/>
      <c r="H51" s="29">
        <f>SUM(H47:H50)</f>
        <v>2896</v>
      </c>
      <c r="I51" s="30">
        <f t="shared" ref="I51:N51" si="2">SUM(I47:I50)</f>
        <v>4954</v>
      </c>
      <c r="J51" s="30">
        <f t="shared" si="2"/>
        <v>12384</v>
      </c>
      <c r="K51" s="29">
        <f t="shared" si="2"/>
        <v>5825</v>
      </c>
      <c r="L51" s="29">
        <f t="shared" si="2"/>
        <v>6586</v>
      </c>
      <c r="M51" s="29">
        <f t="shared" si="2"/>
        <v>3790</v>
      </c>
      <c r="N51" s="29">
        <f t="shared" si="2"/>
        <v>180</v>
      </c>
      <c r="O51" s="6">
        <f t="shared" si="0"/>
        <v>36615</v>
      </c>
    </row>
    <row r="52" spans="1:15">
      <c r="A52" s="13"/>
      <c r="B52" s="6" t="s">
        <v>81</v>
      </c>
      <c r="C52" s="6" t="s">
        <v>82</v>
      </c>
      <c r="D52" s="6" t="s">
        <v>83</v>
      </c>
      <c r="E52" s="6"/>
      <c r="F52" s="6"/>
      <c r="G52" s="6" t="s">
        <v>84</v>
      </c>
      <c r="H52" s="29"/>
      <c r="I52" s="30"/>
      <c r="J52" s="30">
        <v>2</v>
      </c>
      <c r="K52" s="29">
        <v>1</v>
      </c>
      <c r="L52" s="29">
        <v>5</v>
      </c>
      <c r="M52" s="29">
        <v>1</v>
      </c>
      <c r="N52" s="29"/>
      <c r="O52" s="6">
        <f t="shared" si="0"/>
        <v>9</v>
      </c>
    </row>
    <row r="53" spans="1:15">
      <c r="A53" s="13"/>
      <c r="B53" s="6"/>
      <c r="C53" s="6"/>
      <c r="D53" s="6" t="s">
        <v>85</v>
      </c>
      <c r="E53" s="6"/>
      <c r="F53" s="6"/>
      <c r="G53" s="6"/>
      <c r="H53" s="29"/>
      <c r="I53" s="30"/>
      <c r="J53" s="30">
        <v>1</v>
      </c>
      <c r="K53" s="29"/>
      <c r="L53" s="29"/>
      <c r="M53" s="29"/>
      <c r="N53" s="29"/>
      <c r="O53" s="6">
        <f t="shared" si="0"/>
        <v>1</v>
      </c>
    </row>
    <row r="54" spans="1:15">
      <c r="A54" s="13"/>
      <c r="B54" s="6"/>
      <c r="C54" s="6" t="s">
        <v>86</v>
      </c>
      <c r="D54" s="6" t="s">
        <v>87</v>
      </c>
      <c r="E54" s="6"/>
      <c r="F54" s="6"/>
      <c r="G54" s="6" t="s">
        <v>88</v>
      </c>
      <c r="H54" s="29">
        <v>1834</v>
      </c>
      <c r="I54" s="30">
        <v>2400</v>
      </c>
      <c r="J54" s="30">
        <v>3800</v>
      </c>
      <c r="K54" s="29">
        <v>3100</v>
      </c>
      <c r="L54" s="29">
        <v>2118</v>
      </c>
      <c r="M54" s="29">
        <v>2200</v>
      </c>
      <c r="N54" s="29">
        <v>800</v>
      </c>
      <c r="O54" s="6">
        <f t="shared" si="0"/>
        <v>16252</v>
      </c>
    </row>
    <row r="55" spans="1:15">
      <c r="A55" s="13"/>
      <c r="B55" s="6"/>
      <c r="C55" s="6" t="s">
        <v>89</v>
      </c>
      <c r="D55" s="6" t="s">
        <v>90</v>
      </c>
      <c r="E55" s="6"/>
      <c r="F55" s="6"/>
      <c r="G55" s="6"/>
      <c r="H55" s="29"/>
      <c r="I55" s="30">
        <v>2320</v>
      </c>
      <c r="J55" s="30">
        <v>3200</v>
      </c>
      <c r="K55" s="29">
        <v>880</v>
      </c>
      <c r="L55" s="29"/>
      <c r="M55" s="29">
        <v>1000</v>
      </c>
      <c r="N55" s="29"/>
      <c r="O55" s="6">
        <f t="shared" si="0"/>
        <v>7400</v>
      </c>
    </row>
    <row r="56" spans="1:15">
      <c r="A56" s="13"/>
      <c r="B56" s="6"/>
      <c r="C56" s="6" t="s">
        <v>91</v>
      </c>
      <c r="D56" s="6" t="s">
        <v>92</v>
      </c>
      <c r="E56" s="6"/>
      <c r="F56" s="6"/>
      <c r="G56" s="6" t="s">
        <v>152</v>
      </c>
      <c r="H56" s="29"/>
      <c r="I56" s="30"/>
      <c r="J56" s="30">
        <v>300</v>
      </c>
      <c r="K56" s="29"/>
      <c r="L56" s="29">
        <v>120</v>
      </c>
      <c r="M56" s="29"/>
      <c r="N56" s="29"/>
      <c r="O56" s="6">
        <f t="shared" si="0"/>
        <v>420</v>
      </c>
    </row>
    <row r="57" spans="1:15">
      <c r="A57" s="13"/>
      <c r="B57" s="6"/>
      <c r="C57" s="6" t="s">
        <v>93</v>
      </c>
      <c r="D57" s="6" t="s">
        <v>94</v>
      </c>
      <c r="E57" s="6"/>
      <c r="F57" s="6"/>
      <c r="G57" s="6" t="s">
        <v>88</v>
      </c>
      <c r="H57" s="29"/>
      <c r="I57" s="30"/>
      <c r="J57" s="30"/>
      <c r="K57" s="29"/>
      <c r="L57" s="29">
        <v>1200</v>
      </c>
      <c r="M57" s="29"/>
      <c r="N57" s="29"/>
      <c r="O57" s="6">
        <f t="shared" si="0"/>
        <v>1200</v>
      </c>
    </row>
    <row r="58" spans="1:15">
      <c r="A58" s="13"/>
      <c r="B58" s="6"/>
      <c r="C58" s="6" t="s">
        <v>95</v>
      </c>
      <c r="D58" s="6" t="s">
        <v>96</v>
      </c>
      <c r="E58" s="6"/>
      <c r="F58" s="6"/>
      <c r="G58" s="6" t="s">
        <v>32</v>
      </c>
      <c r="H58" s="29">
        <v>100</v>
      </c>
      <c r="I58" s="30">
        <v>500</v>
      </c>
      <c r="J58" s="30">
        <v>500</v>
      </c>
      <c r="K58" s="29">
        <v>200</v>
      </c>
      <c r="L58" s="29">
        <v>200</v>
      </c>
      <c r="M58" s="29">
        <v>50</v>
      </c>
      <c r="N58" s="29">
        <v>50</v>
      </c>
      <c r="O58" s="6">
        <f t="shared" si="0"/>
        <v>1600</v>
      </c>
    </row>
    <row r="59" spans="1:15">
      <c r="A59" s="13"/>
      <c r="B59" s="6"/>
      <c r="C59" s="6" t="s">
        <v>97</v>
      </c>
      <c r="D59" s="7" t="s">
        <v>98</v>
      </c>
      <c r="E59" s="7"/>
      <c r="F59" s="7"/>
      <c r="G59" s="6" t="s">
        <v>152</v>
      </c>
      <c r="H59" s="29"/>
      <c r="I59" s="30"/>
      <c r="J59" s="30"/>
      <c r="K59" s="29"/>
      <c r="L59" s="29">
        <v>107337</v>
      </c>
      <c r="M59" s="29"/>
      <c r="N59" s="29"/>
      <c r="O59" s="6">
        <f t="shared" si="0"/>
        <v>107337</v>
      </c>
    </row>
    <row r="60" spans="1:15">
      <c r="A60" s="13"/>
      <c r="B60" s="6"/>
      <c r="C60" s="6"/>
      <c r="D60" s="6" t="s">
        <v>99</v>
      </c>
      <c r="E60" s="6"/>
      <c r="F60" s="6"/>
      <c r="G60" s="6" t="s">
        <v>32</v>
      </c>
      <c r="H60" s="29"/>
      <c r="I60" s="30"/>
      <c r="J60" s="30">
        <v>500</v>
      </c>
      <c r="K60" s="29"/>
      <c r="L60" s="29">
        <v>2744</v>
      </c>
      <c r="M60" s="29"/>
      <c r="N60" s="29"/>
      <c r="O60" s="6">
        <f t="shared" si="0"/>
        <v>3244</v>
      </c>
    </row>
    <row r="61" spans="1:15">
      <c r="A61" s="13" t="s">
        <v>100</v>
      </c>
      <c r="B61" s="6" t="s">
        <v>101</v>
      </c>
      <c r="C61" s="6" t="s">
        <v>102</v>
      </c>
      <c r="D61" s="6" t="s">
        <v>103</v>
      </c>
      <c r="E61" s="6"/>
      <c r="F61" s="6"/>
      <c r="G61" s="6" t="s">
        <v>32</v>
      </c>
      <c r="H61" s="29"/>
      <c r="I61" s="30"/>
      <c r="J61" s="30">
        <v>1000</v>
      </c>
      <c r="K61" s="29">
        <v>1740</v>
      </c>
      <c r="L61" s="29">
        <v>2216</v>
      </c>
      <c r="M61" s="29"/>
      <c r="N61" s="29"/>
      <c r="O61" s="6">
        <f t="shared" si="0"/>
        <v>4956</v>
      </c>
    </row>
    <row r="62" spans="1:15">
      <c r="A62" s="13"/>
      <c r="B62" s="6"/>
      <c r="C62" s="6" t="s">
        <v>104</v>
      </c>
      <c r="D62" s="6" t="s">
        <v>105</v>
      </c>
      <c r="E62" s="6"/>
      <c r="F62" s="6"/>
      <c r="G62" s="6"/>
      <c r="H62" s="29"/>
      <c r="I62" s="30"/>
      <c r="J62" s="30"/>
      <c r="K62" s="29">
        <v>20</v>
      </c>
      <c r="L62" s="29">
        <v>40</v>
      </c>
      <c r="M62" s="29"/>
      <c r="N62" s="29"/>
      <c r="O62" s="6">
        <f t="shared" si="0"/>
        <v>60</v>
      </c>
    </row>
    <row r="63" spans="1:15">
      <c r="A63" s="13"/>
      <c r="B63" s="6" t="s">
        <v>106</v>
      </c>
      <c r="C63" s="36" t="s">
        <v>107</v>
      </c>
      <c r="D63" s="36"/>
      <c r="E63" s="36"/>
      <c r="F63" s="36"/>
      <c r="G63" s="6" t="s">
        <v>32</v>
      </c>
      <c r="H63" s="29"/>
      <c r="I63" s="30"/>
      <c r="J63" s="30"/>
      <c r="K63" s="29"/>
      <c r="L63" s="29"/>
      <c r="M63" s="29"/>
      <c r="N63" s="29"/>
      <c r="O63" s="6">
        <f t="shared" si="0"/>
        <v>0</v>
      </c>
    </row>
    <row r="64" spans="1:15">
      <c r="A64" s="13"/>
      <c r="B64" s="7" t="s">
        <v>108</v>
      </c>
      <c r="C64" s="6" t="s">
        <v>109</v>
      </c>
      <c r="D64" s="6"/>
      <c r="E64" s="6"/>
      <c r="F64" s="6"/>
      <c r="G64" s="6" t="s">
        <v>32</v>
      </c>
      <c r="H64" s="29">
        <v>1360</v>
      </c>
      <c r="I64" s="30"/>
      <c r="J64" s="30"/>
      <c r="K64" s="29">
        <v>1860</v>
      </c>
      <c r="L64" s="29"/>
      <c r="M64" s="29"/>
      <c r="N64" s="29"/>
      <c r="O64" s="6">
        <f t="shared" si="0"/>
        <v>3220</v>
      </c>
    </row>
    <row r="65" spans="1:15">
      <c r="A65" s="13"/>
      <c r="B65" s="7"/>
      <c r="C65" s="6" t="s">
        <v>110</v>
      </c>
      <c r="D65" s="6"/>
      <c r="E65" s="6"/>
      <c r="F65" s="6"/>
      <c r="G65" s="6"/>
      <c r="H65" s="29"/>
      <c r="I65" s="30"/>
      <c r="J65" s="30"/>
      <c r="K65" s="29">
        <v>920</v>
      </c>
      <c r="L65" s="29"/>
      <c r="M65" s="29"/>
      <c r="N65" s="29"/>
      <c r="O65" s="6">
        <f t="shared" si="0"/>
        <v>920</v>
      </c>
    </row>
    <row r="66" spans="1:15">
      <c r="A66" s="13"/>
      <c r="B66" s="7"/>
      <c r="C66" s="15" t="s">
        <v>111</v>
      </c>
      <c r="D66" s="15"/>
      <c r="E66" s="15"/>
      <c r="F66" s="15"/>
      <c r="G66" s="6"/>
      <c r="H66" s="29">
        <v>480</v>
      </c>
      <c r="I66" s="30">
        <v>2400</v>
      </c>
      <c r="J66" s="30">
        <v>3800</v>
      </c>
      <c r="K66" s="29">
        <v>940</v>
      </c>
      <c r="L66" s="29">
        <v>3643</v>
      </c>
      <c r="M66" s="29">
        <v>2500</v>
      </c>
      <c r="N66" s="29">
        <v>800</v>
      </c>
      <c r="O66" s="6">
        <f t="shared" si="0"/>
        <v>14563</v>
      </c>
    </row>
    <row r="67" spans="1:15">
      <c r="A67" s="13"/>
      <c r="B67" s="15" t="s">
        <v>112</v>
      </c>
      <c r="C67" s="15" t="s">
        <v>113</v>
      </c>
      <c r="D67" s="15" t="s">
        <v>114</v>
      </c>
      <c r="E67" s="15"/>
      <c r="F67" s="15"/>
      <c r="G67" s="6" t="s">
        <v>154</v>
      </c>
      <c r="H67" s="29">
        <v>3555</v>
      </c>
      <c r="I67" s="30">
        <v>15064</v>
      </c>
      <c r="J67" s="30">
        <v>25655</v>
      </c>
      <c r="K67" s="29">
        <v>15036</v>
      </c>
      <c r="L67" s="29">
        <f>7186+1746</f>
        <v>8932</v>
      </c>
      <c r="M67" s="29">
        <f>12402+2898</f>
        <v>15300</v>
      </c>
      <c r="N67" s="29">
        <v>2322</v>
      </c>
      <c r="O67" s="6">
        <f t="shared" si="0"/>
        <v>85864</v>
      </c>
    </row>
    <row r="68" spans="1:15">
      <c r="A68" s="13"/>
      <c r="B68" s="15"/>
      <c r="C68" s="15" t="s">
        <v>115</v>
      </c>
      <c r="D68" s="15" t="s">
        <v>116</v>
      </c>
      <c r="E68" s="15"/>
      <c r="F68" s="15"/>
      <c r="G68" s="6"/>
      <c r="H68" s="29">
        <v>16601</v>
      </c>
      <c r="I68" s="30">
        <v>59500</v>
      </c>
      <c r="J68" s="30">
        <v>91427</v>
      </c>
      <c r="K68" s="29">
        <v>57589</v>
      </c>
      <c r="L68" s="29">
        <f>24935+6607</f>
        <v>31542</v>
      </c>
      <c r="M68" s="29">
        <f>48535+14164</f>
        <v>62699</v>
      </c>
      <c r="N68" s="29">
        <v>10846</v>
      </c>
      <c r="O68" s="6">
        <f t="shared" si="0"/>
        <v>330204</v>
      </c>
    </row>
    <row r="69" spans="1:15">
      <c r="A69" s="13"/>
      <c r="B69" s="15"/>
      <c r="C69" s="15" t="s">
        <v>117</v>
      </c>
      <c r="D69" s="15" t="s">
        <v>118</v>
      </c>
      <c r="E69" s="15"/>
      <c r="F69" s="15"/>
      <c r="G69" s="6"/>
      <c r="H69" s="29"/>
      <c r="I69" s="30">
        <v>65333</v>
      </c>
      <c r="J69" s="30">
        <v>165702</v>
      </c>
      <c r="K69" s="29">
        <v>49455</v>
      </c>
      <c r="L69" s="29">
        <v>474690</v>
      </c>
      <c r="M69" s="29">
        <f>51975+12127</f>
        <v>64102</v>
      </c>
      <c r="N69" s="29">
        <v>16721</v>
      </c>
      <c r="O69" s="6">
        <f t="shared" ref="O69:O83" si="3">SUM(H69:N69)</f>
        <v>836003</v>
      </c>
    </row>
    <row r="70" spans="1:15">
      <c r="A70" s="13"/>
      <c r="B70" s="15"/>
      <c r="C70" s="15" t="s">
        <v>119</v>
      </c>
      <c r="D70" s="15"/>
      <c r="E70" s="15"/>
      <c r="F70" s="15"/>
      <c r="G70" s="6"/>
      <c r="H70" s="29">
        <v>2939</v>
      </c>
      <c r="I70" s="30">
        <v>13364</v>
      </c>
      <c r="J70" s="30">
        <v>23400</v>
      </c>
      <c r="K70" s="29">
        <v>5025</v>
      </c>
      <c r="L70" s="29">
        <v>71203</v>
      </c>
      <c r="M70" s="29">
        <v>6050</v>
      </c>
      <c r="N70" s="29">
        <v>1680</v>
      </c>
      <c r="O70" s="6">
        <f t="shared" si="3"/>
        <v>123661</v>
      </c>
    </row>
    <row r="71" spans="1:15">
      <c r="A71" s="13"/>
      <c r="B71" s="15"/>
      <c r="C71" s="15" t="s">
        <v>120</v>
      </c>
      <c r="D71" s="15"/>
      <c r="E71" s="15"/>
      <c r="F71" s="15"/>
      <c r="G71" s="6"/>
      <c r="H71" s="29">
        <f t="shared" ref="H71:N71" si="4">SUM(H67:H70)</f>
        <v>23095</v>
      </c>
      <c r="I71" s="30">
        <f t="shared" si="4"/>
        <v>153261</v>
      </c>
      <c r="J71" s="30">
        <f t="shared" si="4"/>
        <v>306184</v>
      </c>
      <c r="K71" s="29">
        <f t="shared" si="4"/>
        <v>127105</v>
      </c>
      <c r="L71" s="29">
        <f t="shared" si="4"/>
        <v>586367</v>
      </c>
      <c r="M71" s="29">
        <f t="shared" si="4"/>
        <v>148151</v>
      </c>
      <c r="N71" s="29">
        <f t="shared" si="4"/>
        <v>31569</v>
      </c>
      <c r="O71" s="6">
        <f t="shared" si="3"/>
        <v>1375732</v>
      </c>
    </row>
    <row r="72" spans="1:15">
      <c r="A72" s="13"/>
      <c r="B72" s="6" t="s">
        <v>121</v>
      </c>
      <c r="C72" s="15" t="s">
        <v>122</v>
      </c>
      <c r="D72" s="15"/>
      <c r="E72" s="15"/>
      <c r="F72" s="15"/>
      <c r="G72" s="6"/>
      <c r="H72" s="29">
        <f>50203*0.3</f>
        <v>15060.9</v>
      </c>
      <c r="I72" s="30">
        <f>357884*0.3</f>
        <v>107365.2</v>
      </c>
      <c r="J72" s="30">
        <v>388002</v>
      </c>
      <c r="K72" s="29">
        <f>216312*0.3</f>
        <v>64893.6</v>
      </c>
      <c r="L72" s="29">
        <f>154026*0.3</f>
        <v>46207.8</v>
      </c>
      <c r="M72" s="29">
        <f>53500*0.3</f>
        <v>16050</v>
      </c>
      <c r="N72" s="29">
        <f>56563*0.3</f>
        <v>16968.9</v>
      </c>
      <c r="O72" s="6">
        <f t="shared" si="3"/>
        <v>654548.4</v>
      </c>
    </row>
    <row r="73" spans="1:15">
      <c r="A73" s="13"/>
      <c r="B73" s="6"/>
      <c r="C73" s="15" t="s">
        <v>123</v>
      </c>
      <c r="D73" s="15"/>
      <c r="E73" s="15"/>
      <c r="F73" s="15"/>
      <c r="G73" s="6"/>
      <c r="H73" s="29">
        <f>50203*0.7</f>
        <v>35142.1</v>
      </c>
      <c r="I73" s="30">
        <f>357884*0.7</f>
        <v>250518.8</v>
      </c>
      <c r="J73" s="30"/>
      <c r="K73" s="29">
        <f>216312*0.7</f>
        <v>151418.4</v>
      </c>
      <c r="L73" s="29">
        <f>154026*0.7</f>
        <v>107818.2</v>
      </c>
      <c r="M73" s="29">
        <f>53500*0.7</f>
        <v>37450</v>
      </c>
      <c r="N73" s="29">
        <f>56563*0.7</f>
        <v>39594.1</v>
      </c>
      <c r="O73" s="6">
        <f t="shared" si="3"/>
        <v>621941.6</v>
      </c>
    </row>
    <row r="74" spans="1:15">
      <c r="A74" s="13"/>
      <c r="B74" s="6"/>
      <c r="C74" s="15" t="s">
        <v>124</v>
      </c>
      <c r="D74" s="15"/>
      <c r="E74" s="15"/>
      <c r="F74" s="15"/>
      <c r="G74" s="6"/>
      <c r="H74" s="29">
        <v>2939</v>
      </c>
      <c r="I74" s="30">
        <v>13364</v>
      </c>
      <c r="J74" s="30">
        <v>23400</v>
      </c>
      <c r="K74" s="29">
        <v>5025</v>
      </c>
      <c r="L74" s="29">
        <v>71203</v>
      </c>
      <c r="M74" s="29">
        <v>6050</v>
      </c>
      <c r="N74" s="29">
        <v>1680</v>
      </c>
      <c r="O74" s="6">
        <f t="shared" si="3"/>
        <v>123661</v>
      </c>
    </row>
    <row r="75" spans="1:15">
      <c r="A75" s="13"/>
      <c r="B75" s="6"/>
      <c r="C75" s="6" t="s">
        <v>125</v>
      </c>
      <c r="D75" s="6"/>
      <c r="E75" s="6"/>
      <c r="F75" s="6"/>
      <c r="G75" s="6"/>
      <c r="H75" s="29">
        <f t="shared" ref="H75:N75" si="5">SUM(H72:H74)</f>
        <v>53142</v>
      </c>
      <c r="I75" s="30">
        <f t="shared" si="5"/>
        <v>371248</v>
      </c>
      <c r="J75" s="30">
        <f t="shared" si="5"/>
        <v>411402</v>
      </c>
      <c r="K75" s="29">
        <f t="shared" si="5"/>
        <v>221337</v>
      </c>
      <c r="L75" s="29">
        <f t="shared" si="5"/>
        <v>225229</v>
      </c>
      <c r="M75" s="29">
        <f t="shared" si="5"/>
        <v>59550</v>
      </c>
      <c r="N75" s="29">
        <f t="shared" si="5"/>
        <v>58243</v>
      </c>
      <c r="O75" s="6">
        <f t="shared" si="3"/>
        <v>1400151</v>
      </c>
    </row>
    <row r="76" spans="1:15">
      <c r="A76" s="13"/>
      <c r="B76" s="6" t="s">
        <v>23</v>
      </c>
      <c r="C76" s="6"/>
      <c r="D76" s="6"/>
      <c r="E76" s="6"/>
      <c r="F76" s="6"/>
      <c r="G76" s="6"/>
      <c r="H76" s="29">
        <f t="shared" ref="H76:N76" si="6">H71+H75</f>
        <v>76237</v>
      </c>
      <c r="I76" s="30">
        <f t="shared" si="6"/>
        <v>524509</v>
      </c>
      <c r="J76" s="30">
        <f t="shared" si="6"/>
        <v>717586</v>
      </c>
      <c r="K76" s="29">
        <f t="shared" si="6"/>
        <v>348442</v>
      </c>
      <c r="L76" s="29">
        <f t="shared" si="6"/>
        <v>811596</v>
      </c>
      <c r="M76" s="29">
        <f t="shared" si="6"/>
        <v>207701</v>
      </c>
      <c r="N76" s="29">
        <f t="shared" si="6"/>
        <v>89812</v>
      </c>
      <c r="O76" s="6">
        <f t="shared" si="3"/>
        <v>2775883</v>
      </c>
    </row>
    <row r="77" spans="1:15">
      <c r="A77" s="13"/>
      <c r="B77" s="6" t="s">
        <v>126</v>
      </c>
      <c r="C77" s="6"/>
      <c r="D77" s="6"/>
      <c r="E77" s="6"/>
      <c r="F77" s="6"/>
      <c r="G77" s="6" t="s">
        <v>152</v>
      </c>
      <c r="H77" s="29">
        <v>4200</v>
      </c>
      <c r="I77" s="30"/>
      <c r="J77" s="30"/>
      <c r="K77" s="29">
        <v>5600</v>
      </c>
      <c r="L77" s="29"/>
      <c r="M77" s="29">
        <v>17500</v>
      </c>
      <c r="N77" s="29">
        <v>5600</v>
      </c>
      <c r="O77" s="6">
        <f t="shared" si="3"/>
        <v>32900</v>
      </c>
    </row>
    <row r="78" spans="1:15">
      <c r="A78" s="13"/>
      <c r="B78" s="10" t="s">
        <v>127</v>
      </c>
      <c r="C78" s="10"/>
      <c r="D78" s="10"/>
      <c r="E78" s="10"/>
      <c r="F78" s="37" t="s">
        <v>128</v>
      </c>
      <c r="G78" s="10" t="s">
        <v>35</v>
      </c>
      <c r="H78" s="38"/>
      <c r="I78" s="39">
        <v>2400</v>
      </c>
      <c r="J78" s="39">
        <v>2000</v>
      </c>
      <c r="K78" s="38"/>
      <c r="L78" s="38">
        <f>2334*3</f>
        <v>7002</v>
      </c>
      <c r="M78" s="38"/>
      <c r="N78" s="38"/>
      <c r="O78" s="6">
        <f t="shared" si="3"/>
        <v>11402</v>
      </c>
    </row>
    <row r="79" spans="1:15">
      <c r="A79" s="13"/>
      <c r="B79" s="10"/>
      <c r="C79" s="10"/>
      <c r="D79" s="10"/>
      <c r="E79" s="10"/>
      <c r="F79" s="37" t="s">
        <v>129</v>
      </c>
      <c r="G79" s="10"/>
      <c r="H79" s="38"/>
      <c r="I79" s="39">
        <v>1200</v>
      </c>
      <c r="J79" s="39">
        <v>1000</v>
      </c>
      <c r="K79" s="38"/>
      <c r="L79" s="38">
        <f>2334*3</f>
        <v>7002</v>
      </c>
      <c r="M79" s="38"/>
      <c r="N79" s="38"/>
      <c r="O79" s="6">
        <f t="shared" si="3"/>
        <v>9202</v>
      </c>
    </row>
    <row r="80" spans="1:15">
      <c r="A80" s="40" t="s">
        <v>130</v>
      </c>
      <c r="B80" s="10" t="s">
        <v>131</v>
      </c>
      <c r="C80" s="41" t="s">
        <v>132</v>
      </c>
      <c r="D80" s="41"/>
      <c r="E80" s="41"/>
      <c r="F80" s="42"/>
      <c r="G80" s="19" t="s">
        <v>154</v>
      </c>
      <c r="H80" s="43">
        <v>300</v>
      </c>
      <c r="I80" s="19"/>
      <c r="J80" s="19"/>
      <c r="K80" s="43"/>
      <c r="L80" s="43"/>
      <c r="M80" s="43"/>
      <c r="N80" s="43"/>
      <c r="O80" s="6">
        <f t="shared" si="3"/>
        <v>300</v>
      </c>
    </row>
    <row r="81" spans="1:15">
      <c r="A81" s="40"/>
      <c r="B81" s="10"/>
      <c r="C81" s="41" t="s">
        <v>133</v>
      </c>
      <c r="D81" s="41"/>
      <c r="E81" s="41"/>
      <c r="F81" s="42"/>
      <c r="G81" s="19" t="s">
        <v>32</v>
      </c>
      <c r="H81" s="43">
        <v>200</v>
      </c>
      <c r="I81" s="19"/>
      <c r="J81" s="19"/>
      <c r="K81" s="43"/>
      <c r="L81" s="43"/>
      <c r="M81" s="43"/>
      <c r="N81" s="43"/>
      <c r="O81" s="6">
        <f t="shared" si="3"/>
        <v>200</v>
      </c>
    </row>
    <row r="82" spans="1:15">
      <c r="A82" s="40"/>
      <c r="B82" s="10"/>
      <c r="C82" s="41" t="s">
        <v>134</v>
      </c>
      <c r="D82" s="41"/>
      <c r="E82" s="41"/>
      <c r="F82" s="42"/>
      <c r="G82" s="19" t="s">
        <v>154</v>
      </c>
      <c r="H82" s="43">
        <v>172</v>
      </c>
      <c r="I82" s="19"/>
      <c r="J82" s="19"/>
      <c r="K82" s="19"/>
      <c r="L82" s="19"/>
      <c r="M82" s="43"/>
      <c r="N82" s="43"/>
      <c r="O82" s="6">
        <f t="shared" si="3"/>
        <v>172</v>
      </c>
    </row>
    <row r="83" spans="1:15">
      <c r="A83" s="40"/>
      <c r="B83" s="10"/>
      <c r="C83" s="41" t="s">
        <v>135</v>
      </c>
      <c r="D83" s="41"/>
      <c r="E83" s="41"/>
      <c r="F83" s="42"/>
      <c r="G83" s="19" t="s">
        <v>63</v>
      </c>
      <c r="H83" s="43">
        <v>2</v>
      </c>
      <c r="I83" s="19"/>
      <c r="J83" s="19"/>
      <c r="K83" s="19"/>
      <c r="L83" s="19"/>
      <c r="M83" s="19"/>
      <c r="N83" s="19"/>
      <c r="O83" s="6">
        <f t="shared" si="3"/>
        <v>2</v>
      </c>
    </row>
    <row r="84" spans="1:15">
      <c r="A84" s="40"/>
      <c r="B84" s="41" t="s">
        <v>136</v>
      </c>
      <c r="C84" s="44" t="s">
        <v>137</v>
      </c>
      <c r="D84" s="44"/>
      <c r="E84" s="44" t="s">
        <v>138</v>
      </c>
      <c r="F84" s="44"/>
      <c r="G84" s="45" t="s">
        <v>139</v>
      </c>
      <c r="H84" s="45"/>
      <c r="I84" s="45"/>
      <c r="J84" s="46"/>
      <c r="K84" s="45"/>
      <c r="L84" s="45"/>
      <c r="M84" s="45"/>
      <c r="N84" s="45"/>
      <c r="O84" s="45">
        <v>6</v>
      </c>
    </row>
    <row r="85" spans="1:15">
      <c r="A85" s="40"/>
      <c r="B85" s="41"/>
      <c r="C85" s="44"/>
      <c r="D85" s="44"/>
      <c r="E85" s="44" t="s">
        <v>140</v>
      </c>
      <c r="F85" s="44"/>
      <c r="G85" s="45"/>
      <c r="H85" s="45"/>
      <c r="I85" s="45"/>
      <c r="J85" s="46"/>
      <c r="K85" s="45"/>
      <c r="L85" s="45"/>
      <c r="M85" s="45"/>
      <c r="N85" s="45"/>
      <c r="O85" s="45">
        <v>5</v>
      </c>
    </row>
    <row r="86" spans="1:15">
      <c r="A86" s="40"/>
      <c r="B86" s="41"/>
      <c r="C86" s="44" t="s">
        <v>141</v>
      </c>
      <c r="D86" s="44"/>
      <c r="E86" s="44"/>
      <c r="F86" s="44"/>
      <c r="G86" s="45" t="s">
        <v>142</v>
      </c>
      <c r="H86" s="45"/>
      <c r="I86" s="45"/>
      <c r="J86" s="46"/>
      <c r="K86" s="45"/>
      <c r="L86" s="45"/>
      <c r="M86" s="45"/>
      <c r="N86" s="45"/>
      <c r="O86" s="45">
        <v>22</v>
      </c>
    </row>
    <row r="87" spans="1:15">
      <c r="A87" s="40"/>
      <c r="B87" s="41"/>
      <c r="C87" s="44" t="s">
        <v>143</v>
      </c>
      <c r="D87" s="44"/>
      <c r="E87" s="44"/>
      <c r="F87" s="44"/>
      <c r="G87" s="45"/>
      <c r="H87" s="45"/>
      <c r="I87" s="45"/>
      <c r="J87" s="46"/>
      <c r="K87" s="45"/>
      <c r="L87" s="45"/>
      <c r="M87" s="45"/>
      <c r="N87" s="45"/>
      <c r="O87" s="45">
        <v>44</v>
      </c>
    </row>
    <row r="88" spans="1:15">
      <c r="A88" s="40"/>
      <c r="B88" s="41"/>
      <c r="C88" s="44" t="s">
        <v>144</v>
      </c>
      <c r="D88" s="44"/>
      <c r="E88" s="44"/>
      <c r="F88" s="44"/>
      <c r="G88" s="45"/>
      <c r="H88" s="45"/>
      <c r="I88" s="45"/>
      <c r="J88" s="46"/>
      <c r="K88" s="45"/>
      <c r="L88" s="45"/>
      <c r="M88" s="45"/>
      <c r="N88" s="45"/>
      <c r="O88" s="45">
        <v>44</v>
      </c>
    </row>
    <row r="89" spans="1:15">
      <c r="A89" s="40"/>
      <c r="B89" s="41"/>
      <c r="C89" s="44" t="s">
        <v>135</v>
      </c>
      <c r="D89" s="6" t="s">
        <v>46</v>
      </c>
      <c r="E89" s="6" t="s">
        <v>61</v>
      </c>
      <c r="F89" s="6" t="s">
        <v>62</v>
      </c>
      <c r="G89" s="45"/>
      <c r="H89" s="45"/>
      <c r="I89" s="45"/>
      <c r="J89" s="46"/>
      <c r="K89" s="45"/>
      <c r="L89" s="45"/>
      <c r="M89" s="45"/>
      <c r="N89" s="45"/>
      <c r="O89" s="45"/>
    </row>
    <row r="90" spans="1:15">
      <c r="A90" s="40"/>
      <c r="B90" s="41"/>
      <c r="C90" s="44"/>
      <c r="D90" s="6" t="s">
        <v>46</v>
      </c>
      <c r="E90" s="6" t="s">
        <v>64</v>
      </c>
      <c r="F90" s="6" t="s">
        <v>65</v>
      </c>
      <c r="G90" s="45"/>
      <c r="H90" s="45"/>
      <c r="I90" s="45"/>
      <c r="J90" s="46"/>
      <c r="K90" s="45"/>
      <c r="L90" s="45"/>
      <c r="M90" s="45"/>
      <c r="N90" s="45"/>
      <c r="O90" s="45"/>
    </row>
    <row r="91" spans="1:15">
      <c r="A91" s="40"/>
      <c r="B91" s="41"/>
      <c r="C91" s="44"/>
      <c r="D91" s="6" t="s">
        <v>145</v>
      </c>
      <c r="E91" s="6"/>
      <c r="F91" s="6"/>
      <c r="G91" s="45"/>
      <c r="H91" s="45"/>
      <c r="I91" s="45"/>
      <c r="J91" s="46"/>
      <c r="K91" s="45"/>
      <c r="L91" s="45"/>
      <c r="M91" s="45"/>
      <c r="N91" s="45"/>
      <c r="O91" s="47">
        <v>1</v>
      </c>
    </row>
    <row r="92" spans="1:15">
      <c r="A92" s="40"/>
      <c r="B92" s="41"/>
      <c r="C92" s="44"/>
      <c r="D92" s="6" t="s">
        <v>46</v>
      </c>
      <c r="E92" s="6" t="s">
        <v>64</v>
      </c>
      <c r="F92" s="6" t="s">
        <v>67</v>
      </c>
      <c r="G92" s="48"/>
      <c r="H92" s="48"/>
      <c r="I92" s="48"/>
      <c r="J92" s="46"/>
      <c r="K92" s="48"/>
      <c r="L92" s="48"/>
      <c r="M92" s="48"/>
      <c r="N92" s="48"/>
      <c r="O92" s="49">
        <v>2</v>
      </c>
    </row>
    <row r="93" spans="1:15">
      <c r="A93" s="40"/>
      <c r="B93" s="41"/>
      <c r="C93" s="44"/>
      <c r="D93" s="6" t="s">
        <v>52</v>
      </c>
      <c r="E93" s="6" t="s">
        <v>68</v>
      </c>
      <c r="F93" s="6" t="s">
        <v>69</v>
      </c>
      <c r="G93" s="48"/>
      <c r="H93" s="48"/>
      <c r="I93" s="48"/>
      <c r="J93" s="46"/>
      <c r="K93" s="48"/>
      <c r="L93" s="48"/>
      <c r="M93" s="48"/>
      <c r="N93" s="48"/>
      <c r="O93" s="49">
        <v>2</v>
      </c>
    </row>
    <row r="94" spans="1:15">
      <c r="A94" s="40"/>
      <c r="B94" s="41"/>
      <c r="C94" s="48" t="s">
        <v>146</v>
      </c>
      <c r="D94" s="48"/>
      <c r="E94" s="48"/>
      <c r="F94" s="48"/>
      <c r="G94" s="48" t="s">
        <v>139</v>
      </c>
      <c r="H94" s="48"/>
      <c r="I94" s="48"/>
      <c r="J94" s="46"/>
      <c r="K94" s="48"/>
      <c r="L94" s="48"/>
      <c r="M94" s="48"/>
      <c r="N94" s="48"/>
      <c r="O94" s="49">
        <v>22</v>
      </c>
    </row>
    <row r="95" spans="1:15">
      <c r="A95" s="40"/>
      <c r="B95" s="41"/>
      <c r="C95" s="48" t="s">
        <v>147</v>
      </c>
      <c r="D95" s="48"/>
      <c r="E95" s="48"/>
      <c r="F95" s="48"/>
      <c r="G95" s="48"/>
      <c r="H95" s="48"/>
      <c r="I95" s="48"/>
      <c r="J95" s="46"/>
      <c r="K95" s="48"/>
      <c r="L95" s="48"/>
      <c r="M95" s="48"/>
      <c r="N95" s="48"/>
      <c r="O95" s="49"/>
    </row>
    <row r="96" spans="1:15">
      <c r="A96" s="40"/>
      <c r="B96" s="41"/>
      <c r="C96" s="48" t="s">
        <v>148</v>
      </c>
      <c r="D96" s="48"/>
      <c r="E96" s="48"/>
      <c r="F96" s="48"/>
      <c r="G96" s="50" t="s">
        <v>142</v>
      </c>
      <c r="H96" s="46"/>
      <c r="I96" s="46"/>
      <c r="J96" s="46"/>
      <c r="K96" s="46"/>
      <c r="L96" s="46"/>
      <c r="M96" s="46"/>
      <c r="N96" s="46"/>
      <c r="O96" s="49">
        <v>44</v>
      </c>
    </row>
    <row r="97" spans="1:15">
      <c r="A97" s="40"/>
      <c r="B97" s="41"/>
      <c r="C97" s="48" t="s">
        <v>149</v>
      </c>
      <c r="D97" s="48"/>
      <c r="E97" s="48"/>
      <c r="F97" s="48"/>
      <c r="G97" s="50"/>
      <c r="H97" s="46"/>
      <c r="I97" s="46"/>
      <c r="J97" s="46"/>
      <c r="K97" s="46"/>
      <c r="L97" s="46"/>
      <c r="M97" s="46"/>
      <c r="N97" s="46"/>
      <c r="O97" s="49">
        <v>1</v>
      </c>
    </row>
  </sheetData>
  <mergeCells count="147">
    <mergeCell ref="A1:O1"/>
    <mergeCell ref="A2:G2"/>
    <mergeCell ref="H2:O2"/>
    <mergeCell ref="A3:G3"/>
    <mergeCell ref="A4:F4"/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E17:F17"/>
    <mergeCell ref="E18:F18"/>
    <mergeCell ref="E19:F19"/>
    <mergeCell ref="C20:F20"/>
    <mergeCell ref="C21:F21"/>
    <mergeCell ref="C22:F22"/>
    <mergeCell ref="C23:F23"/>
    <mergeCell ref="B24:F24"/>
    <mergeCell ref="B25:F25"/>
    <mergeCell ref="E26:F26"/>
    <mergeCell ref="E27:F27"/>
    <mergeCell ref="E28:F28"/>
    <mergeCell ref="E29:F29"/>
    <mergeCell ref="E30:F30"/>
    <mergeCell ref="E31:F31"/>
    <mergeCell ref="C32:F32"/>
    <mergeCell ref="C33:F33"/>
    <mergeCell ref="E34:F34"/>
    <mergeCell ref="D35:F35"/>
    <mergeCell ref="D36:F36"/>
    <mergeCell ref="C37:F37"/>
    <mergeCell ref="D40:F40"/>
    <mergeCell ref="D43:F43"/>
    <mergeCell ref="D44:F44"/>
    <mergeCell ref="D45:F45"/>
    <mergeCell ref="B46:F46"/>
    <mergeCell ref="C47:F47"/>
    <mergeCell ref="C48:F48"/>
    <mergeCell ref="C49:F49"/>
    <mergeCell ref="C50:F50"/>
    <mergeCell ref="C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C63:F63"/>
    <mergeCell ref="C64:F64"/>
    <mergeCell ref="C65:F65"/>
    <mergeCell ref="C66:F66"/>
    <mergeCell ref="D67:F67"/>
    <mergeCell ref="D68:F68"/>
    <mergeCell ref="D69:F69"/>
    <mergeCell ref="C70:F70"/>
    <mergeCell ref="C71:F71"/>
    <mergeCell ref="C72:F72"/>
    <mergeCell ref="C73:F73"/>
    <mergeCell ref="C74:F74"/>
    <mergeCell ref="C75:F75"/>
    <mergeCell ref="B76:F76"/>
    <mergeCell ref="B77:F77"/>
    <mergeCell ref="C80:F80"/>
    <mergeCell ref="C81:F81"/>
    <mergeCell ref="C82:F82"/>
    <mergeCell ref="C83:F83"/>
    <mergeCell ref="E84:F84"/>
    <mergeCell ref="E85:F85"/>
    <mergeCell ref="C86:F86"/>
    <mergeCell ref="C87:F87"/>
    <mergeCell ref="C88:F88"/>
    <mergeCell ref="D91:F91"/>
    <mergeCell ref="C94:F94"/>
    <mergeCell ref="C95:F95"/>
    <mergeCell ref="C96:F96"/>
    <mergeCell ref="C97:F97"/>
    <mergeCell ref="A5:A25"/>
    <mergeCell ref="A26:A60"/>
    <mergeCell ref="A61:A79"/>
    <mergeCell ref="A80:A97"/>
    <mergeCell ref="B6:B11"/>
    <mergeCell ref="B12:B13"/>
    <mergeCell ref="B14:B15"/>
    <mergeCell ref="B16:B19"/>
    <mergeCell ref="B20:B23"/>
    <mergeCell ref="B26:B45"/>
    <mergeCell ref="B47:B51"/>
    <mergeCell ref="B52:B60"/>
    <mergeCell ref="B61:B62"/>
    <mergeCell ref="B64:B66"/>
    <mergeCell ref="B67:B71"/>
    <mergeCell ref="B72:B75"/>
    <mergeCell ref="B80:B83"/>
    <mergeCell ref="B84:B97"/>
    <mergeCell ref="C26:C27"/>
    <mergeCell ref="C28:C31"/>
    <mergeCell ref="C35:C36"/>
    <mergeCell ref="C38:C42"/>
    <mergeCell ref="C43:C45"/>
    <mergeCell ref="C52:C53"/>
    <mergeCell ref="C59:C60"/>
    <mergeCell ref="C89:C93"/>
    <mergeCell ref="D26:D27"/>
    <mergeCell ref="D28:D29"/>
    <mergeCell ref="D30:D31"/>
    <mergeCell ref="G5:G13"/>
    <mergeCell ref="G14:G15"/>
    <mergeCell ref="G17:G24"/>
    <mergeCell ref="G26:G32"/>
    <mergeCell ref="G35:G37"/>
    <mergeCell ref="G38:G42"/>
    <mergeCell ref="G44:G45"/>
    <mergeCell ref="G47:G51"/>
    <mergeCell ref="G52:G53"/>
    <mergeCell ref="G54:G55"/>
    <mergeCell ref="G61:G62"/>
    <mergeCell ref="G64:G66"/>
    <mergeCell ref="G67:G76"/>
    <mergeCell ref="G78:G79"/>
    <mergeCell ref="G84:G85"/>
    <mergeCell ref="G86:G88"/>
    <mergeCell ref="G89:G91"/>
    <mergeCell ref="G94:G95"/>
    <mergeCell ref="G96:G97"/>
    <mergeCell ref="H3:H4"/>
    <mergeCell ref="I3:I4"/>
    <mergeCell ref="J3:J4"/>
    <mergeCell ref="K3:K4"/>
    <mergeCell ref="L3:L4"/>
    <mergeCell ref="M3:M4"/>
    <mergeCell ref="N3:N4"/>
    <mergeCell ref="O3:O4"/>
    <mergeCell ref="B78:E79"/>
    <mergeCell ref="C84:D85"/>
    <mergeCell ref="C17:D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tabSelected="1" zoomScale="115" zoomScaleNormal="115" workbookViewId="0">
      <pane xSplit="7" ySplit="2" topLeftCell="H3" activePane="bottomRight" state="frozen"/>
      <selection/>
      <selection pane="topRight"/>
      <selection pane="bottomLeft"/>
      <selection pane="bottomRight" activeCell="S11" sqref="S11"/>
    </sheetView>
  </sheetViews>
  <sheetFormatPr defaultColWidth="9" defaultRowHeight="13.5"/>
  <cols>
    <col min="6" max="6" width="15.5" customWidth="1"/>
    <col min="8" max="9" width="9" hidden="1" customWidth="1"/>
    <col min="10" max="11" width="9" style="1" hidden="1" customWidth="1"/>
    <col min="12" max="12" width="12.625" hidden="1" customWidth="1"/>
    <col min="13" max="13" width="9" style="1" hidden="1" customWidth="1"/>
    <col min="14" max="14" width="9" hidden="1" customWidth="1"/>
  </cols>
  <sheetData>
    <row r="1" ht="14.25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4.25" spans="1:15">
      <c r="A2" s="5" t="s">
        <v>1</v>
      </c>
      <c r="B2" s="6"/>
      <c r="C2" s="6"/>
      <c r="D2" s="6"/>
      <c r="E2" s="6"/>
      <c r="F2" s="6"/>
      <c r="G2" s="6"/>
      <c r="H2" s="7" t="s">
        <v>2</v>
      </c>
      <c r="I2" s="7"/>
      <c r="J2" s="7"/>
      <c r="K2" s="7"/>
      <c r="L2" s="7"/>
      <c r="M2" s="7"/>
      <c r="N2" s="7"/>
      <c r="O2" s="7"/>
    </row>
    <row r="3" ht="14.25" spans="1:15">
      <c r="A3" s="5" t="s">
        <v>3</v>
      </c>
      <c r="B3" s="6"/>
      <c r="C3" s="6"/>
      <c r="D3" s="6"/>
      <c r="E3" s="6"/>
      <c r="F3" s="6"/>
      <c r="G3" s="6"/>
      <c r="H3" s="8" t="s">
        <v>4</v>
      </c>
      <c r="I3" s="9" t="s">
        <v>5</v>
      </c>
      <c r="J3" s="10" t="s">
        <v>6</v>
      </c>
      <c r="K3" s="10" t="s">
        <v>7</v>
      </c>
      <c r="L3" s="11" t="s">
        <v>8</v>
      </c>
      <c r="M3" s="10" t="s">
        <v>9</v>
      </c>
      <c r="N3" s="10" t="s">
        <v>10</v>
      </c>
      <c r="O3" s="10" t="s">
        <v>11</v>
      </c>
    </row>
    <row r="4" ht="14.25" spans="1:15">
      <c r="A4" s="5" t="s">
        <v>12</v>
      </c>
      <c r="B4" s="6"/>
      <c r="C4" s="6"/>
      <c r="D4" s="6"/>
      <c r="E4" s="6"/>
      <c r="F4" s="6"/>
      <c r="G4" s="6" t="s">
        <v>13</v>
      </c>
      <c r="H4" s="10"/>
      <c r="I4" s="10"/>
      <c r="J4" s="10"/>
      <c r="K4" s="10"/>
      <c r="L4" s="12"/>
      <c r="M4" s="10"/>
      <c r="N4" s="10"/>
      <c r="O4" s="10"/>
    </row>
    <row r="5" spans="1:15">
      <c r="A5" s="13" t="s">
        <v>14</v>
      </c>
      <c r="B5" s="6" t="s">
        <v>15</v>
      </c>
      <c r="C5" s="6"/>
      <c r="D5" s="6"/>
      <c r="E5" s="6"/>
      <c r="F5" s="6"/>
      <c r="G5" s="6" t="s">
        <v>16</v>
      </c>
      <c r="H5" s="14"/>
      <c r="I5" s="6"/>
      <c r="J5" s="15"/>
      <c r="K5" s="15"/>
      <c r="L5" s="15"/>
      <c r="M5" s="15"/>
      <c r="N5" s="15"/>
      <c r="O5" s="6">
        <f t="shared" ref="O5:O68" si="0">SUM(H5:N5)</f>
        <v>0</v>
      </c>
    </row>
    <row r="6" spans="1:15">
      <c r="A6" s="13"/>
      <c r="B6" s="6" t="s">
        <v>17</v>
      </c>
      <c r="C6" s="6" t="s">
        <v>18</v>
      </c>
      <c r="D6" s="6"/>
      <c r="E6" s="6"/>
      <c r="F6" s="6"/>
      <c r="G6" s="6"/>
      <c r="H6" s="15">
        <v>24</v>
      </c>
      <c r="I6" s="6"/>
      <c r="J6" s="15">
        <v>11</v>
      </c>
      <c r="K6" s="15">
        <v>48</v>
      </c>
      <c r="L6" s="15">
        <v>276</v>
      </c>
      <c r="M6" s="15">
        <v>15</v>
      </c>
      <c r="N6" s="15"/>
      <c r="O6" s="6">
        <f t="shared" si="0"/>
        <v>374</v>
      </c>
    </row>
    <row r="7" spans="1:15">
      <c r="A7" s="13"/>
      <c r="B7" s="6"/>
      <c r="C7" s="6" t="s">
        <v>19</v>
      </c>
      <c r="D7" s="6"/>
      <c r="E7" s="6"/>
      <c r="F7" s="6"/>
      <c r="G7" s="6"/>
      <c r="H7" s="15"/>
      <c r="I7" s="6"/>
      <c r="J7" s="15"/>
      <c r="K7" s="15"/>
      <c r="L7" s="15"/>
      <c r="M7" s="15"/>
      <c r="N7" s="15"/>
      <c r="O7" s="6">
        <f t="shared" si="0"/>
        <v>0</v>
      </c>
    </row>
    <row r="8" spans="1:15">
      <c r="A8" s="13"/>
      <c r="B8" s="6"/>
      <c r="C8" s="6" t="s">
        <v>20</v>
      </c>
      <c r="D8" s="6"/>
      <c r="E8" s="6"/>
      <c r="F8" s="6"/>
      <c r="G8" s="6"/>
      <c r="H8" s="15"/>
      <c r="I8" s="6"/>
      <c r="J8" s="15"/>
      <c r="K8" s="15"/>
      <c r="L8" s="15"/>
      <c r="M8" s="15"/>
      <c r="N8" s="15"/>
      <c r="O8" s="6">
        <f t="shared" si="0"/>
        <v>0</v>
      </c>
    </row>
    <row r="9" spans="1:15">
      <c r="A9" s="13"/>
      <c r="B9" s="6"/>
      <c r="C9" s="6" t="s">
        <v>21</v>
      </c>
      <c r="D9" s="6"/>
      <c r="E9" s="6"/>
      <c r="F9" s="6"/>
      <c r="G9" s="6"/>
      <c r="H9" s="15"/>
      <c r="I9" s="6"/>
      <c r="J9" s="15"/>
      <c r="K9" s="15"/>
      <c r="L9" s="15"/>
      <c r="M9" s="15"/>
      <c r="N9" s="15"/>
      <c r="O9" s="6">
        <f t="shared" si="0"/>
        <v>0</v>
      </c>
    </row>
    <row r="10" spans="1:15">
      <c r="A10" s="13"/>
      <c r="B10" s="6"/>
      <c r="C10" s="6" t="s">
        <v>22</v>
      </c>
      <c r="D10" s="6"/>
      <c r="E10" s="6"/>
      <c r="F10" s="6"/>
      <c r="G10" s="6"/>
      <c r="H10" s="15"/>
      <c r="I10" s="6"/>
      <c r="J10" s="15"/>
      <c r="K10" s="15"/>
      <c r="L10" s="15">
        <v>90</v>
      </c>
      <c r="M10" s="15">
        <v>7</v>
      </c>
      <c r="N10" s="15">
        <v>6</v>
      </c>
      <c r="O10" s="6">
        <f t="shared" si="0"/>
        <v>103</v>
      </c>
    </row>
    <row r="11" spans="1:15">
      <c r="A11" s="16"/>
      <c r="B11" s="17"/>
      <c r="C11" s="17" t="s">
        <v>23</v>
      </c>
      <c r="D11" s="17"/>
      <c r="E11" s="17"/>
      <c r="F11" s="17"/>
      <c r="G11" s="17"/>
      <c r="H11" s="15">
        <v>24</v>
      </c>
      <c r="I11" s="6"/>
      <c r="J11" s="15">
        <v>11</v>
      </c>
      <c r="K11" s="15">
        <v>48</v>
      </c>
      <c r="L11" s="15">
        <v>356</v>
      </c>
      <c r="M11" s="15">
        <v>22</v>
      </c>
      <c r="N11" s="15">
        <v>6</v>
      </c>
      <c r="O11" s="6">
        <f t="shared" si="0"/>
        <v>467</v>
      </c>
    </row>
    <row r="12" spans="1:15">
      <c r="A12" s="13"/>
      <c r="B12" s="6" t="s">
        <v>24</v>
      </c>
      <c r="C12" s="6" t="s">
        <v>25</v>
      </c>
      <c r="D12" s="6"/>
      <c r="E12" s="6"/>
      <c r="F12" s="6"/>
      <c r="G12" s="6"/>
      <c r="H12" s="15"/>
      <c r="I12" s="6"/>
      <c r="J12" s="15"/>
      <c r="K12" s="15"/>
      <c r="L12" s="15"/>
      <c r="M12" s="15"/>
      <c r="N12" s="15"/>
      <c r="O12" s="6">
        <f t="shared" si="0"/>
        <v>0</v>
      </c>
    </row>
    <row r="13" spans="1:15">
      <c r="A13" s="13"/>
      <c r="B13" s="6"/>
      <c r="C13" s="6" t="s">
        <v>23</v>
      </c>
      <c r="D13" s="6"/>
      <c r="E13" s="6"/>
      <c r="F13" s="6"/>
      <c r="G13" s="6"/>
      <c r="H13" s="15"/>
      <c r="I13" s="6"/>
      <c r="J13" s="15"/>
      <c r="K13" s="15"/>
      <c r="L13" s="15"/>
      <c r="M13" s="15"/>
      <c r="N13" s="15"/>
      <c r="O13" s="6">
        <f t="shared" si="0"/>
        <v>0</v>
      </c>
    </row>
    <row r="14" spans="1:15">
      <c r="A14" s="13"/>
      <c r="B14" s="6" t="s">
        <v>26</v>
      </c>
      <c r="C14" s="6" t="s">
        <v>27</v>
      </c>
      <c r="D14" s="6"/>
      <c r="E14" s="6"/>
      <c r="F14" s="6"/>
      <c r="G14" s="6" t="s">
        <v>152</v>
      </c>
      <c r="H14" s="15"/>
      <c r="I14" s="6"/>
      <c r="J14" s="15">
        <v>4100</v>
      </c>
      <c r="K14" s="15">
        <v>1600</v>
      </c>
      <c r="L14" s="15"/>
      <c r="M14" s="15"/>
      <c r="N14" s="15"/>
      <c r="O14" s="6">
        <f t="shared" si="0"/>
        <v>5700</v>
      </c>
    </row>
    <row r="15" spans="1:15">
      <c r="A15" s="13"/>
      <c r="B15" s="6"/>
      <c r="C15" s="6" t="s">
        <v>29</v>
      </c>
      <c r="D15" s="6"/>
      <c r="E15" s="6"/>
      <c r="F15" s="6"/>
      <c r="G15" s="6"/>
      <c r="H15" s="15"/>
      <c r="I15" s="6"/>
      <c r="J15" s="15">
        <v>310</v>
      </c>
      <c r="K15" s="15">
        <v>876</v>
      </c>
      <c r="L15" s="15"/>
      <c r="M15" s="15">
        <v>4500</v>
      </c>
      <c r="N15" s="15">
        <v>1200</v>
      </c>
      <c r="O15" s="6">
        <f t="shared" si="0"/>
        <v>6886</v>
      </c>
    </row>
    <row r="16" spans="1:15">
      <c r="A16" s="13"/>
      <c r="B16" s="18" t="s">
        <v>30</v>
      </c>
      <c r="C16" s="6" t="s">
        <v>31</v>
      </c>
      <c r="D16" s="6"/>
      <c r="E16" s="6"/>
      <c r="F16" s="6"/>
      <c r="G16" s="6" t="s">
        <v>32</v>
      </c>
      <c r="H16" s="15"/>
      <c r="I16" s="6"/>
      <c r="J16" s="15">
        <v>300</v>
      </c>
      <c r="K16" s="15">
        <v>100</v>
      </c>
      <c r="L16" s="15">
        <v>300</v>
      </c>
      <c r="M16" s="15">
        <v>150</v>
      </c>
      <c r="N16" s="15">
        <v>100</v>
      </c>
      <c r="O16" s="6">
        <f t="shared" si="0"/>
        <v>950</v>
      </c>
    </row>
    <row r="17" spans="1:15">
      <c r="A17" s="13"/>
      <c r="B17" s="18"/>
      <c r="C17" s="19" t="s">
        <v>33</v>
      </c>
      <c r="D17" s="19"/>
      <c r="E17" s="18" t="s">
        <v>34</v>
      </c>
      <c r="F17" s="18"/>
      <c r="G17" s="20" t="s">
        <v>35</v>
      </c>
      <c r="H17" s="21"/>
      <c r="I17" s="20"/>
      <c r="J17" s="21">
        <v>756</v>
      </c>
      <c r="K17" s="21">
        <v>252</v>
      </c>
      <c r="L17" s="21">
        <v>756</v>
      </c>
      <c r="M17" s="21">
        <v>378</v>
      </c>
      <c r="N17" s="21">
        <v>252</v>
      </c>
      <c r="O17" s="6">
        <f t="shared" si="0"/>
        <v>2394</v>
      </c>
    </row>
    <row r="18" spans="1:15">
      <c r="A18" s="13"/>
      <c r="B18" s="18"/>
      <c r="C18" s="19"/>
      <c r="D18" s="19"/>
      <c r="E18" s="18" t="s">
        <v>36</v>
      </c>
      <c r="F18" s="22"/>
      <c r="G18" s="20"/>
      <c r="H18" s="21"/>
      <c r="I18" s="20"/>
      <c r="J18" s="21">
        <v>3230</v>
      </c>
      <c r="K18" s="21">
        <v>1320</v>
      </c>
      <c r="L18" s="21">
        <v>3230</v>
      </c>
      <c r="M18" s="21">
        <v>3780</v>
      </c>
      <c r="N18" s="21">
        <v>2520</v>
      </c>
      <c r="O18" s="6">
        <f t="shared" si="0"/>
        <v>14080</v>
      </c>
    </row>
    <row r="19" spans="1:15">
      <c r="A19" s="13"/>
      <c r="B19" s="18"/>
      <c r="C19" s="19"/>
      <c r="D19" s="19"/>
      <c r="E19" s="18" t="s">
        <v>37</v>
      </c>
      <c r="F19" s="18"/>
      <c r="G19" s="20"/>
      <c r="H19" s="21"/>
      <c r="I19" s="20"/>
      <c r="J19" s="21">
        <v>360</v>
      </c>
      <c r="K19" s="21">
        <v>120</v>
      </c>
      <c r="L19" s="21">
        <v>360</v>
      </c>
      <c r="M19" s="21">
        <v>180</v>
      </c>
      <c r="N19" s="21">
        <v>120</v>
      </c>
      <c r="O19" s="6">
        <f t="shared" si="0"/>
        <v>1140</v>
      </c>
    </row>
    <row r="20" spans="1:15">
      <c r="A20" s="13"/>
      <c r="B20" s="18" t="s">
        <v>38</v>
      </c>
      <c r="C20" s="23" t="s">
        <v>31</v>
      </c>
      <c r="D20" s="24"/>
      <c r="E20" s="24"/>
      <c r="F20" s="25"/>
      <c r="G20" s="20"/>
      <c r="H20" s="21">
        <v>200</v>
      </c>
      <c r="I20" s="20"/>
      <c r="J20" s="21">
        <v>300</v>
      </c>
      <c r="K20" s="21">
        <v>300</v>
      </c>
      <c r="L20" s="21">
        <v>100</v>
      </c>
      <c r="M20" s="21"/>
      <c r="N20" s="21"/>
      <c r="O20" s="6">
        <f t="shared" si="0"/>
        <v>900</v>
      </c>
    </row>
    <row r="21" spans="1:15">
      <c r="A21" s="13"/>
      <c r="B21" s="18"/>
      <c r="C21" s="23" t="s">
        <v>36</v>
      </c>
      <c r="D21" s="24"/>
      <c r="E21" s="24"/>
      <c r="F21" s="25"/>
      <c r="G21" s="20"/>
      <c r="H21" s="21">
        <v>850</v>
      </c>
      <c r="I21" s="20"/>
      <c r="J21" s="21"/>
      <c r="K21" s="21"/>
      <c r="L21" s="21">
        <v>250</v>
      </c>
      <c r="M21" s="21"/>
      <c r="N21" s="21"/>
      <c r="O21" s="6">
        <f t="shared" si="0"/>
        <v>1100</v>
      </c>
    </row>
    <row r="22" spans="1:15">
      <c r="A22" s="13"/>
      <c r="B22" s="18"/>
      <c r="C22" s="23" t="s">
        <v>37</v>
      </c>
      <c r="D22" s="24"/>
      <c r="E22" s="24"/>
      <c r="F22" s="25"/>
      <c r="G22" s="20"/>
      <c r="H22" s="21">
        <v>1120</v>
      </c>
      <c r="I22" s="20"/>
      <c r="J22" s="21">
        <v>4760</v>
      </c>
      <c r="K22" s="21">
        <v>4760</v>
      </c>
      <c r="L22" s="21">
        <v>630</v>
      </c>
      <c r="M22" s="21"/>
      <c r="N22" s="21"/>
      <c r="O22" s="6">
        <f t="shared" si="0"/>
        <v>11270</v>
      </c>
    </row>
    <row r="23" spans="1:15">
      <c r="A23" s="13"/>
      <c r="B23" s="18"/>
      <c r="C23" s="18" t="s">
        <v>39</v>
      </c>
      <c r="D23" s="18"/>
      <c r="E23" s="18"/>
      <c r="F23" s="18"/>
      <c r="G23" s="20"/>
      <c r="H23" s="21">
        <v>230</v>
      </c>
      <c r="I23" s="20"/>
      <c r="J23" s="21">
        <v>395</v>
      </c>
      <c r="K23" s="21">
        <v>395</v>
      </c>
      <c r="L23" s="21">
        <v>120</v>
      </c>
      <c r="M23" s="21"/>
      <c r="N23" s="21"/>
      <c r="O23" s="6">
        <f t="shared" si="0"/>
        <v>1140</v>
      </c>
    </row>
    <row r="24" spans="1:15">
      <c r="A24" s="13"/>
      <c r="B24" s="6" t="s">
        <v>40</v>
      </c>
      <c r="C24" s="6"/>
      <c r="D24" s="6"/>
      <c r="E24" s="6"/>
      <c r="F24" s="6"/>
      <c r="G24" s="20"/>
      <c r="H24" s="21">
        <v>100</v>
      </c>
      <c r="I24" s="20"/>
      <c r="J24" s="21">
        <v>2200</v>
      </c>
      <c r="K24" s="21">
        <v>210</v>
      </c>
      <c r="L24" s="21">
        <v>100</v>
      </c>
      <c r="M24" s="21">
        <v>860</v>
      </c>
      <c r="N24" s="21">
        <v>960</v>
      </c>
      <c r="O24" s="6">
        <f t="shared" si="0"/>
        <v>4430</v>
      </c>
    </row>
    <row r="25" spans="1:15">
      <c r="A25" s="13"/>
      <c r="B25" s="6" t="s">
        <v>41</v>
      </c>
      <c r="C25" s="6"/>
      <c r="D25" s="6"/>
      <c r="E25" s="6"/>
      <c r="F25" s="6"/>
      <c r="G25" s="6" t="s">
        <v>42</v>
      </c>
      <c r="H25" s="15">
        <v>100</v>
      </c>
      <c r="I25" s="6"/>
      <c r="J25" s="15">
        <v>50</v>
      </c>
      <c r="K25" s="15">
        <v>300</v>
      </c>
      <c r="L25" s="15">
        <v>200</v>
      </c>
      <c r="M25" s="15">
        <v>100</v>
      </c>
      <c r="N25" s="15">
        <v>300</v>
      </c>
      <c r="O25" s="6">
        <f t="shared" si="0"/>
        <v>1050</v>
      </c>
    </row>
    <row r="26" spans="1:15">
      <c r="A26" s="13" t="s">
        <v>43</v>
      </c>
      <c r="B26" s="6" t="s">
        <v>44</v>
      </c>
      <c r="C26" s="6" t="s">
        <v>45</v>
      </c>
      <c r="D26" s="6" t="s">
        <v>46</v>
      </c>
      <c r="E26" s="6" t="s">
        <v>47</v>
      </c>
      <c r="F26" s="6"/>
      <c r="G26" s="6" t="s">
        <v>32</v>
      </c>
      <c r="H26" s="15">
        <f>735+527</f>
        <v>1262</v>
      </c>
      <c r="I26" s="26"/>
      <c r="J26" s="15">
        <v>1390</v>
      </c>
      <c r="K26" s="15">
        <v>2012</v>
      </c>
      <c r="L26" s="15"/>
      <c r="M26" s="15">
        <v>80</v>
      </c>
      <c r="N26" s="15">
        <v>40</v>
      </c>
      <c r="O26" s="6">
        <f t="shared" si="0"/>
        <v>4784</v>
      </c>
    </row>
    <row r="27" spans="1:15">
      <c r="A27" s="13"/>
      <c r="B27" s="6"/>
      <c r="C27" s="6"/>
      <c r="D27" s="6"/>
      <c r="E27" s="6" t="s">
        <v>48</v>
      </c>
      <c r="F27" s="6"/>
      <c r="G27" s="6"/>
      <c r="H27" s="15"/>
      <c r="I27" s="6"/>
      <c r="J27" s="15"/>
      <c r="K27" s="15"/>
      <c r="L27" s="15"/>
      <c r="M27" s="15"/>
      <c r="N27" s="15"/>
      <c r="O27" s="6">
        <f t="shared" si="0"/>
        <v>0</v>
      </c>
    </row>
    <row r="28" spans="1:15">
      <c r="A28" s="13"/>
      <c r="B28" s="6"/>
      <c r="C28" s="6" t="s">
        <v>49</v>
      </c>
      <c r="D28" s="6" t="s">
        <v>46</v>
      </c>
      <c r="E28" s="6" t="s">
        <v>50</v>
      </c>
      <c r="F28" s="6"/>
      <c r="G28" s="6"/>
      <c r="H28" s="15"/>
      <c r="I28" s="6"/>
      <c r="J28" s="15"/>
      <c r="K28" s="15"/>
      <c r="L28" s="15"/>
      <c r="M28" s="15"/>
      <c r="N28" s="15"/>
      <c r="O28" s="6">
        <f t="shared" si="0"/>
        <v>0</v>
      </c>
    </row>
    <row r="29" spans="1:15">
      <c r="A29" s="13"/>
      <c r="B29" s="6"/>
      <c r="C29" s="6"/>
      <c r="D29" s="6"/>
      <c r="E29" s="6" t="s">
        <v>51</v>
      </c>
      <c r="F29" s="6"/>
      <c r="G29" s="6"/>
      <c r="H29" s="15"/>
      <c r="I29" s="6"/>
      <c r="J29" s="15"/>
      <c r="K29" s="15"/>
      <c r="L29" s="15"/>
      <c r="M29" s="15"/>
      <c r="N29" s="15"/>
      <c r="O29" s="6">
        <f t="shared" si="0"/>
        <v>0</v>
      </c>
    </row>
    <row r="30" spans="1:15">
      <c r="A30" s="13"/>
      <c r="B30" s="6"/>
      <c r="C30" s="6"/>
      <c r="D30" s="6" t="s">
        <v>52</v>
      </c>
      <c r="E30" s="6" t="s">
        <v>50</v>
      </c>
      <c r="F30" s="6"/>
      <c r="G30" s="6"/>
      <c r="H30" s="15"/>
      <c r="I30" s="6"/>
      <c r="J30" s="15"/>
      <c r="K30" s="15"/>
      <c r="L30" s="15"/>
      <c r="M30" s="15"/>
      <c r="N30" s="15"/>
      <c r="O30" s="6">
        <f t="shared" si="0"/>
        <v>0</v>
      </c>
    </row>
    <row r="31" spans="1:15">
      <c r="A31" s="13"/>
      <c r="B31" s="6"/>
      <c r="C31" s="6"/>
      <c r="D31" s="6"/>
      <c r="E31" s="6" t="s">
        <v>51</v>
      </c>
      <c r="F31" s="6"/>
      <c r="G31" s="6"/>
      <c r="H31" s="15"/>
      <c r="I31" s="6"/>
      <c r="J31" s="15"/>
      <c r="K31" s="15"/>
      <c r="L31" s="15">
        <v>4370</v>
      </c>
      <c r="M31" s="15"/>
      <c r="N31" s="15"/>
      <c r="O31" s="6">
        <f t="shared" si="0"/>
        <v>4370</v>
      </c>
    </row>
    <row r="32" spans="1:15">
      <c r="A32" s="13"/>
      <c r="B32" s="6"/>
      <c r="C32" s="6" t="s">
        <v>23</v>
      </c>
      <c r="D32" s="6"/>
      <c r="E32" s="6"/>
      <c r="F32" s="6"/>
      <c r="G32" s="6"/>
      <c r="H32" s="15">
        <v>1262</v>
      </c>
      <c r="I32" s="26"/>
      <c r="J32" s="15">
        <f t="shared" ref="J32:N32" si="1">SUM(J26:J31)</f>
        <v>1390</v>
      </c>
      <c r="K32" s="15">
        <f t="shared" si="1"/>
        <v>2012</v>
      </c>
      <c r="L32" s="15">
        <f t="shared" si="1"/>
        <v>4370</v>
      </c>
      <c r="M32" s="15">
        <f t="shared" si="1"/>
        <v>80</v>
      </c>
      <c r="N32" s="15">
        <f t="shared" si="1"/>
        <v>40</v>
      </c>
      <c r="O32" s="6">
        <f t="shared" si="0"/>
        <v>9154</v>
      </c>
    </row>
    <row r="33" spans="1:15">
      <c r="A33" s="13"/>
      <c r="B33" s="6"/>
      <c r="C33" s="6" t="s">
        <v>53</v>
      </c>
      <c r="D33" s="6"/>
      <c r="E33" s="6"/>
      <c r="F33" s="6"/>
      <c r="G33" s="6" t="s">
        <v>32</v>
      </c>
      <c r="H33" s="15"/>
      <c r="I33" s="6"/>
      <c r="J33" s="15"/>
      <c r="K33" s="15"/>
      <c r="L33" s="15"/>
      <c r="M33" s="15"/>
      <c r="N33" s="15"/>
      <c r="O33" s="6">
        <f t="shared" si="0"/>
        <v>0</v>
      </c>
    </row>
    <row r="34" spans="1:15">
      <c r="A34" s="13"/>
      <c r="B34" s="6"/>
      <c r="C34" s="6" t="s">
        <v>54</v>
      </c>
      <c r="D34" s="6" t="s">
        <v>55</v>
      </c>
      <c r="E34" s="6" t="s">
        <v>56</v>
      </c>
      <c r="F34" s="6"/>
      <c r="G34" s="6" t="s">
        <v>57</v>
      </c>
      <c r="H34" s="15"/>
      <c r="I34" s="6"/>
      <c r="J34" s="15"/>
      <c r="K34" s="15"/>
      <c r="L34" s="15">
        <v>2</v>
      </c>
      <c r="M34" s="15"/>
      <c r="N34" s="15"/>
      <c r="O34" s="6">
        <f t="shared" si="0"/>
        <v>2</v>
      </c>
    </row>
    <row r="35" spans="1:15">
      <c r="A35" s="13"/>
      <c r="B35" s="6"/>
      <c r="C35" s="6" t="s">
        <v>58</v>
      </c>
      <c r="D35" s="6" t="s">
        <v>46</v>
      </c>
      <c r="E35" s="6"/>
      <c r="F35" s="6"/>
      <c r="G35" s="6" t="s">
        <v>32</v>
      </c>
      <c r="H35" s="15">
        <v>110</v>
      </c>
      <c r="I35" s="6">
        <v>700</v>
      </c>
      <c r="J35" s="15">
        <v>980</v>
      </c>
      <c r="K35" s="15">
        <v>36</v>
      </c>
      <c r="L35" s="15"/>
      <c r="M35" s="15"/>
      <c r="N35" s="15">
        <v>100</v>
      </c>
      <c r="O35" s="6">
        <f t="shared" si="0"/>
        <v>1926</v>
      </c>
    </row>
    <row r="36" spans="1:15">
      <c r="A36" s="13"/>
      <c r="B36" s="6"/>
      <c r="C36" s="6"/>
      <c r="D36" s="6" t="s">
        <v>52</v>
      </c>
      <c r="E36" s="6"/>
      <c r="F36" s="6"/>
      <c r="G36" s="6"/>
      <c r="H36" s="27">
        <v>105</v>
      </c>
      <c r="I36" s="28"/>
      <c r="J36" s="27">
        <v>755</v>
      </c>
      <c r="K36" s="27">
        <v>105</v>
      </c>
      <c r="L36" s="27"/>
      <c r="M36" s="27"/>
      <c r="N36" s="27"/>
      <c r="O36" s="6">
        <f t="shared" si="0"/>
        <v>965</v>
      </c>
    </row>
    <row r="37" spans="1:15">
      <c r="A37" s="13"/>
      <c r="B37" s="6"/>
      <c r="C37" s="6" t="s">
        <v>59</v>
      </c>
      <c r="D37" s="6"/>
      <c r="E37" s="6"/>
      <c r="F37" s="6"/>
      <c r="G37" s="6"/>
      <c r="H37" s="27"/>
      <c r="I37" s="28"/>
      <c r="J37" s="27"/>
      <c r="K37" s="27"/>
      <c r="L37" s="27"/>
      <c r="M37" s="27"/>
      <c r="N37" s="27"/>
      <c r="O37" s="6">
        <f t="shared" si="0"/>
        <v>0</v>
      </c>
    </row>
    <row r="38" spans="1:15">
      <c r="A38" s="13"/>
      <c r="B38" s="6"/>
      <c r="C38" s="6" t="s">
        <v>60</v>
      </c>
      <c r="D38" s="6" t="s">
        <v>46</v>
      </c>
      <c r="E38" s="6" t="s">
        <v>61</v>
      </c>
      <c r="F38" s="6" t="s">
        <v>62</v>
      </c>
      <c r="G38" s="6" t="s">
        <v>63</v>
      </c>
      <c r="H38" s="29"/>
      <c r="I38" s="30"/>
      <c r="J38" s="29"/>
      <c r="K38" s="29"/>
      <c r="L38" s="29"/>
      <c r="M38" s="29"/>
      <c r="N38" s="29"/>
      <c r="O38" s="6">
        <f t="shared" si="0"/>
        <v>0</v>
      </c>
    </row>
    <row r="39" spans="1:15">
      <c r="A39" s="13"/>
      <c r="B39" s="6"/>
      <c r="C39" s="6"/>
      <c r="D39" s="6" t="s">
        <v>46</v>
      </c>
      <c r="E39" s="6" t="s">
        <v>64</v>
      </c>
      <c r="F39" s="6" t="s">
        <v>65</v>
      </c>
      <c r="G39" s="6"/>
      <c r="H39" s="31"/>
      <c r="I39" s="32"/>
      <c r="J39" s="31"/>
      <c r="K39" s="31"/>
      <c r="L39" s="31"/>
      <c r="M39" s="31"/>
      <c r="N39" s="31"/>
      <c r="O39" s="6">
        <f t="shared" si="0"/>
        <v>0</v>
      </c>
    </row>
    <row r="40" spans="1:15">
      <c r="A40" s="13"/>
      <c r="B40" s="6"/>
      <c r="C40" s="6"/>
      <c r="D40" s="6" t="s">
        <v>66</v>
      </c>
      <c r="E40" s="6"/>
      <c r="F40" s="6"/>
      <c r="G40" s="6"/>
      <c r="H40" s="29"/>
      <c r="I40" s="30"/>
      <c r="J40" s="29"/>
      <c r="K40" s="29"/>
      <c r="L40" s="29"/>
      <c r="M40" s="29"/>
      <c r="N40" s="29"/>
      <c r="O40" s="6">
        <f t="shared" si="0"/>
        <v>0</v>
      </c>
    </row>
    <row r="41" spans="1:15">
      <c r="A41" s="13"/>
      <c r="B41" s="6"/>
      <c r="C41" s="6"/>
      <c r="D41" s="6" t="s">
        <v>46</v>
      </c>
      <c r="E41" s="6" t="s">
        <v>64</v>
      </c>
      <c r="F41" s="6" t="s">
        <v>67</v>
      </c>
      <c r="G41" s="6"/>
      <c r="H41" s="29">
        <v>7</v>
      </c>
      <c r="I41" s="30"/>
      <c r="J41" s="29">
        <v>7</v>
      </c>
      <c r="K41" s="29">
        <v>9</v>
      </c>
      <c r="L41" s="29"/>
      <c r="M41" s="29">
        <v>4</v>
      </c>
      <c r="N41" s="29">
        <v>2</v>
      </c>
      <c r="O41" s="6">
        <f t="shared" si="0"/>
        <v>29</v>
      </c>
    </row>
    <row r="42" spans="1:15">
      <c r="A42" s="13"/>
      <c r="B42" s="6"/>
      <c r="C42" s="6"/>
      <c r="D42" s="6" t="s">
        <v>52</v>
      </c>
      <c r="E42" s="6" t="s">
        <v>68</v>
      </c>
      <c r="F42" s="6" t="s">
        <v>69</v>
      </c>
      <c r="G42" s="6"/>
      <c r="H42" s="29"/>
      <c r="I42" s="30"/>
      <c r="J42" s="29"/>
      <c r="K42" s="29"/>
      <c r="L42" s="29">
        <v>4</v>
      </c>
      <c r="M42" s="29"/>
      <c r="N42" s="29"/>
      <c r="O42" s="6">
        <f t="shared" si="0"/>
        <v>4</v>
      </c>
    </row>
    <row r="43" spans="1:15">
      <c r="A43" s="13"/>
      <c r="B43" s="6"/>
      <c r="C43" s="33" t="s">
        <v>70</v>
      </c>
      <c r="D43" s="6" t="s">
        <v>153</v>
      </c>
      <c r="E43" s="6"/>
      <c r="F43" s="6"/>
      <c r="G43" s="6"/>
      <c r="H43" s="29"/>
      <c r="I43" s="30"/>
      <c r="J43" s="29"/>
      <c r="K43" s="29"/>
      <c r="L43" s="29"/>
      <c r="M43" s="29"/>
      <c r="N43" s="29"/>
      <c r="O43" s="6">
        <f t="shared" si="0"/>
        <v>0</v>
      </c>
    </row>
    <row r="44" spans="1:15">
      <c r="A44" s="13"/>
      <c r="B44" s="6"/>
      <c r="C44" s="34"/>
      <c r="D44" s="6" t="s">
        <v>72</v>
      </c>
      <c r="E44" s="6"/>
      <c r="F44" s="6"/>
      <c r="G44" s="6" t="s">
        <v>63</v>
      </c>
      <c r="H44" s="29">
        <v>3</v>
      </c>
      <c r="I44" s="30">
        <v>2</v>
      </c>
      <c r="J44" s="29">
        <v>4</v>
      </c>
      <c r="K44" s="29">
        <v>3</v>
      </c>
      <c r="L44" s="29"/>
      <c r="M44" s="29"/>
      <c r="N44" s="29">
        <v>1</v>
      </c>
      <c r="O44" s="6">
        <f t="shared" si="0"/>
        <v>13</v>
      </c>
    </row>
    <row r="45" spans="1:15">
      <c r="A45" s="13"/>
      <c r="B45" s="6"/>
      <c r="C45" s="35"/>
      <c r="D45" s="6" t="s">
        <v>73</v>
      </c>
      <c r="E45" s="6"/>
      <c r="F45" s="6"/>
      <c r="G45" s="6"/>
      <c r="H45" s="29"/>
      <c r="I45" s="30"/>
      <c r="J45" s="29">
        <v>3</v>
      </c>
      <c r="K45" s="29"/>
      <c r="L45" s="29"/>
      <c r="M45" s="29"/>
      <c r="N45" s="29"/>
      <c r="O45" s="6">
        <f t="shared" si="0"/>
        <v>3</v>
      </c>
    </row>
    <row r="46" spans="1:15">
      <c r="A46" s="13"/>
      <c r="B46" s="6" t="s">
        <v>74</v>
      </c>
      <c r="C46" s="6"/>
      <c r="D46" s="6"/>
      <c r="E46" s="6"/>
      <c r="F46" s="6"/>
      <c r="G46" s="6" t="s">
        <v>35</v>
      </c>
      <c r="H46" s="29">
        <v>150</v>
      </c>
      <c r="I46" s="30"/>
      <c r="J46" s="29">
        <v>200</v>
      </c>
      <c r="K46" s="29"/>
      <c r="L46" s="29"/>
      <c r="M46" s="29"/>
      <c r="N46" s="29"/>
      <c r="O46" s="6">
        <f t="shared" si="0"/>
        <v>350</v>
      </c>
    </row>
    <row r="47" spans="1:15">
      <c r="A47" s="13"/>
      <c r="B47" s="6" t="s">
        <v>75</v>
      </c>
      <c r="C47" s="6" t="s">
        <v>76</v>
      </c>
      <c r="D47" s="6"/>
      <c r="E47" s="6"/>
      <c r="F47" s="6"/>
      <c r="G47" s="6" t="s">
        <v>154</v>
      </c>
      <c r="H47" s="29">
        <v>2446</v>
      </c>
      <c r="I47" s="30"/>
      <c r="J47" s="29">
        <v>3459</v>
      </c>
      <c r="K47" s="29">
        <v>4866</v>
      </c>
      <c r="L47" s="29">
        <v>6049</v>
      </c>
      <c r="M47" s="29">
        <v>645</v>
      </c>
      <c r="N47" s="29">
        <v>130</v>
      </c>
      <c r="O47" s="6">
        <f t="shared" si="0"/>
        <v>17595</v>
      </c>
    </row>
    <row r="48" spans="1:15">
      <c r="A48" s="13"/>
      <c r="B48" s="6"/>
      <c r="C48" s="6" t="s">
        <v>78</v>
      </c>
      <c r="D48" s="6"/>
      <c r="E48" s="6"/>
      <c r="F48" s="6"/>
      <c r="G48" s="6"/>
      <c r="H48" s="29">
        <v>200</v>
      </c>
      <c r="I48" s="30"/>
      <c r="J48" s="29">
        <v>507</v>
      </c>
      <c r="K48" s="29">
        <v>200</v>
      </c>
      <c r="L48" s="29">
        <v>437</v>
      </c>
      <c r="M48" s="29">
        <v>50</v>
      </c>
      <c r="N48" s="29">
        <v>50</v>
      </c>
      <c r="O48" s="6">
        <f t="shared" si="0"/>
        <v>1444</v>
      </c>
    </row>
    <row r="49" spans="1:15">
      <c r="A49" s="13"/>
      <c r="B49" s="6"/>
      <c r="C49" s="6" t="s">
        <v>79</v>
      </c>
      <c r="D49" s="6"/>
      <c r="E49" s="6"/>
      <c r="F49" s="6"/>
      <c r="G49" s="6"/>
      <c r="H49" s="29">
        <v>100</v>
      </c>
      <c r="I49" s="30"/>
      <c r="J49" s="29">
        <v>100</v>
      </c>
      <c r="K49" s="29">
        <v>100</v>
      </c>
      <c r="L49" s="29">
        <v>100</v>
      </c>
      <c r="M49" s="29">
        <v>100</v>
      </c>
      <c r="N49" s="29"/>
      <c r="O49" s="6">
        <f t="shared" si="0"/>
        <v>500</v>
      </c>
    </row>
    <row r="50" spans="1:15">
      <c r="A50" s="13"/>
      <c r="B50" s="6"/>
      <c r="C50" s="6" t="s">
        <v>80</v>
      </c>
      <c r="D50" s="6"/>
      <c r="E50" s="6"/>
      <c r="F50" s="6"/>
      <c r="G50" s="6"/>
      <c r="H50" s="29">
        <v>150</v>
      </c>
      <c r="I50" s="30"/>
      <c r="J50" s="29">
        <v>200</v>
      </c>
      <c r="K50" s="29"/>
      <c r="L50" s="29"/>
      <c r="M50" s="29"/>
      <c r="N50" s="29"/>
      <c r="O50" s="6">
        <f t="shared" si="0"/>
        <v>350</v>
      </c>
    </row>
    <row r="51" spans="1:15">
      <c r="A51" s="13"/>
      <c r="B51" s="6"/>
      <c r="C51" s="6" t="s">
        <v>23</v>
      </c>
      <c r="D51" s="6"/>
      <c r="E51" s="6"/>
      <c r="F51" s="6"/>
      <c r="G51" s="6"/>
      <c r="H51" s="29">
        <f t="shared" ref="H51:N51" si="2">SUM(H47:H50)</f>
        <v>2896</v>
      </c>
      <c r="I51" s="30"/>
      <c r="J51" s="29">
        <f t="shared" si="2"/>
        <v>4266</v>
      </c>
      <c r="K51" s="29">
        <f t="shared" si="2"/>
        <v>5166</v>
      </c>
      <c r="L51" s="29">
        <f t="shared" si="2"/>
        <v>6586</v>
      </c>
      <c r="M51" s="29">
        <f t="shared" si="2"/>
        <v>795</v>
      </c>
      <c r="N51" s="29">
        <f t="shared" si="2"/>
        <v>180</v>
      </c>
      <c r="O51" s="6">
        <f t="shared" si="0"/>
        <v>19889</v>
      </c>
    </row>
    <row r="52" spans="1:15">
      <c r="A52" s="13"/>
      <c r="B52" s="6" t="s">
        <v>81</v>
      </c>
      <c r="C52" s="6" t="s">
        <v>82</v>
      </c>
      <c r="D52" s="6" t="s">
        <v>83</v>
      </c>
      <c r="E52" s="6"/>
      <c r="F52" s="6"/>
      <c r="G52" s="6" t="s">
        <v>84</v>
      </c>
      <c r="H52" s="29"/>
      <c r="I52" s="30"/>
      <c r="J52" s="29"/>
      <c r="K52" s="29"/>
      <c r="L52" s="29">
        <v>5</v>
      </c>
      <c r="M52" s="29"/>
      <c r="N52" s="29"/>
      <c r="O52" s="6">
        <f t="shared" si="0"/>
        <v>5</v>
      </c>
    </row>
    <row r="53" spans="1:15">
      <c r="A53" s="13"/>
      <c r="B53" s="6"/>
      <c r="C53" s="6"/>
      <c r="D53" s="6" t="s">
        <v>85</v>
      </c>
      <c r="E53" s="6"/>
      <c r="F53" s="6"/>
      <c r="G53" s="6"/>
      <c r="H53" s="29"/>
      <c r="I53" s="30"/>
      <c r="J53" s="29"/>
      <c r="K53" s="29"/>
      <c r="L53" s="29"/>
      <c r="M53" s="29"/>
      <c r="N53" s="29"/>
      <c r="O53" s="6">
        <f t="shared" si="0"/>
        <v>0</v>
      </c>
    </row>
    <row r="54" spans="1:15">
      <c r="A54" s="13"/>
      <c r="B54" s="6"/>
      <c r="C54" s="6" t="s">
        <v>86</v>
      </c>
      <c r="D54" s="6" t="s">
        <v>87</v>
      </c>
      <c r="E54" s="6"/>
      <c r="F54" s="6"/>
      <c r="G54" s="6" t="s">
        <v>88</v>
      </c>
      <c r="H54" s="29">
        <v>1834</v>
      </c>
      <c r="I54" s="30"/>
      <c r="J54" s="29">
        <v>2600</v>
      </c>
      <c r="K54" s="29">
        <v>3270</v>
      </c>
      <c r="L54" s="29">
        <v>2118</v>
      </c>
      <c r="M54" s="29">
        <v>2200</v>
      </c>
      <c r="N54" s="29">
        <v>800</v>
      </c>
      <c r="O54" s="6">
        <f t="shared" si="0"/>
        <v>12822</v>
      </c>
    </row>
    <row r="55" spans="1:15">
      <c r="A55" s="13"/>
      <c r="B55" s="6"/>
      <c r="C55" s="6" t="s">
        <v>89</v>
      </c>
      <c r="D55" s="6" t="s">
        <v>90</v>
      </c>
      <c r="E55" s="6"/>
      <c r="F55" s="6"/>
      <c r="G55" s="6"/>
      <c r="H55" s="29"/>
      <c r="I55" s="30"/>
      <c r="J55" s="29"/>
      <c r="K55" s="29"/>
      <c r="L55" s="29"/>
      <c r="M55" s="29"/>
      <c r="N55" s="29"/>
      <c r="O55" s="6">
        <f t="shared" si="0"/>
        <v>0</v>
      </c>
    </row>
    <row r="56" spans="1:15">
      <c r="A56" s="13"/>
      <c r="B56" s="6"/>
      <c r="C56" s="6" t="s">
        <v>91</v>
      </c>
      <c r="D56" s="6" t="s">
        <v>92</v>
      </c>
      <c r="E56" s="6"/>
      <c r="F56" s="6"/>
      <c r="G56" s="6" t="s">
        <v>152</v>
      </c>
      <c r="H56" s="29"/>
      <c r="I56" s="30"/>
      <c r="J56" s="29"/>
      <c r="K56" s="29"/>
      <c r="L56" s="29">
        <v>120</v>
      </c>
      <c r="M56" s="29"/>
      <c r="N56" s="29"/>
      <c r="O56" s="6">
        <f t="shared" si="0"/>
        <v>120</v>
      </c>
    </row>
    <row r="57" spans="1:15">
      <c r="A57" s="13"/>
      <c r="B57" s="6"/>
      <c r="C57" s="6" t="s">
        <v>93</v>
      </c>
      <c r="D57" s="6" t="s">
        <v>94</v>
      </c>
      <c r="E57" s="6"/>
      <c r="F57" s="6"/>
      <c r="G57" s="6" t="s">
        <v>88</v>
      </c>
      <c r="H57" s="29"/>
      <c r="I57" s="30"/>
      <c r="J57" s="29"/>
      <c r="K57" s="29">
        <v>850</v>
      </c>
      <c r="L57" s="29">
        <v>1200</v>
      </c>
      <c r="M57" s="29"/>
      <c r="N57" s="29"/>
      <c r="O57" s="6">
        <f t="shared" si="0"/>
        <v>2050</v>
      </c>
    </row>
    <row r="58" spans="1:15">
      <c r="A58" s="13"/>
      <c r="B58" s="6"/>
      <c r="C58" s="6" t="s">
        <v>95</v>
      </c>
      <c r="D58" s="6" t="s">
        <v>96</v>
      </c>
      <c r="E58" s="6"/>
      <c r="F58" s="6"/>
      <c r="G58" s="6" t="s">
        <v>32</v>
      </c>
      <c r="H58" s="29">
        <v>100</v>
      </c>
      <c r="I58" s="30"/>
      <c r="J58" s="29">
        <v>200</v>
      </c>
      <c r="K58" s="29">
        <v>200</v>
      </c>
      <c r="L58" s="29">
        <v>200</v>
      </c>
      <c r="M58" s="29">
        <v>50</v>
      </c>
      <c r="N58" s="29">
        <v>50</v>
      </c>
      <c r="O58" s="6">
        <f t="shared" si="0"/>
        <v>800</v>
      </c>
    </row>
    <row r="59" spans="1:15">
      <c r="A59" s="13"/>
      <c r="B59" s="6"/>
      <c r="C59" s="6" t="s">
        <v>97</v>
      </c>
      <c r="D59" s="7" t="s">
        <v>98</v>
      </c>
      <c r="E59" s="7"/>
      <c r="F59" s="7"/>
      <c r="G59" s="6" t="s">
        <v>152</v>
      </c>
      <c r="H59" s="29"/>
      <c r="I59" s="30"/>
      <c r="J59" s="29"/>
      <c r="K59" s="29"/>
      <c r="L59" s="29">
        <v>107337</v>
      </c>
      <c r="M59" s="29"/>
      <c r="N59" s="29"/>
      <c r="O59" s="6">
        <f t="shared" si="0"/>
        <v>107337</v>
      </c>
    </row>
    <row r="60" spans="1:15">
      <c r="A60" s="13"/>
      <c r="B60" s="6"/>
      <c r="C60" s="6"/>
      <c r="D60" s="6" t="s">
        <v>99</v>
      </c>
      <c r="E60" s="6"/>
      <c r="F60" s="6"/>
      <c r="G60" s="6" t="s">
        <v>32</v>
      </c>
      <c r="H60" s="29"/>
      <c r="I60" s="30"/>
      <c r="J60" s="29"/>
      <c r="K60" s="29"/>
      <c r="L60" s="29">
        <v>2744</v>
      </c>
      <c r="M60" s="29"/>
      <c r="N60" s="29"/>
      <c r="O60" s="6">
        <f t="shared" si="0"/>
        <v>2744</v>
      </c>
    </row>
    <row r="61" spans="1:15">
      <c r="A61" s="13" t="s">
        <v>100</v>
      </c>
      <c r="B61" s="6" t="s">
        <v>101</v>
      </c>
      <c r="C61" s="6" t="s">
        <v>102</v>
      </c>
      <c r="D61" s="6" t="s">
        <v>103</v>
      </c>
      <c r="E61" s="6"/>
      <c r="F61" s="6"/>
      <c r="G61" s="6" t="s">
        <v>32</v>
      </c>
      <c r="H61" s="29"/>
      <c r="I61" s="30"/>
      <c r="J61" s="29">
        <v>1200</v>
      </c>
      <c r="K61" s="29">
        <v>890</v>
      </c>
      <c r="L61" s="29">
        <v>2216</v>
      </c>
      <c r="M61" s="29"/>
      <c r="N61" s="29"/>
      <c r="O61" s="6">
        <f t="shared" si="0"/>
        <v>4306</v>
      </c>
    </row>
    <row r="62" spans="1:15">
      <c r="A62" s="13"/>
      <c r="B62" s="6"/>
      <c r="C62" s="6" t="s">
        <v>104</v>
      </c>
      <c r="D62" s="6" t="s">
        <v>105</v>
      </c>
      <c r="E62" s="6"/>
      <c r="F62" s="6"/>
      <c r="G62" s="6"/>
      <c r="H62" s="29"/>
      <c r="I62" s="30"/>
      <c r="J62" s="29">
        <v>20</v>
      </c>
      <c r="K62" s="29">
        <v>20</v>
      </c>
      <c r="L62" s="29">
        <v>40</v>
      </c>
      <c r="M62" s="29"/>
      <c r="N62" s="29"/>
      <c r="O62" s="6">
        <f t="shared" si="0"/>
        <v>80</v>
      </c>
    </row>
    <row r="63" spans="1:15">
      <c r="A63" s="13"/>
      <c r="B63" s="6" t="s">
        <v>106</v>
      </c>
      <c r="C63" s="36" t="s">
        <v>107</v>
      </c>
      <c r="D63" s="36"/>
      <c r="E63" s="36"/>
      <c r="F63" s="36"/>
      <c r="G63" s="6" t="s">
        <v>32</v>
      </c>
      <c r="H63" s="29"/>
      <c r="I63" s="30"/>
      <c r="J63" s="29"/>
      <c r="K63" s="29"/>
      <c r="L63" s="29"/>
      <c r="M63" s="29"/>
      <c r="N63" s="29"/>
      <c r="O63" s="6">
        <f t="shared" si="0"/>
        <v>0</v>
      </c>
    </row>
    <row r="64" spans="1:15">
      <c r="A64" s="13"/>
      <c r="B64" s="7" t="s">
        <v>108</v>
      </c>
      <c r="C64" s="6" t="s">
        <v>109</v>
      </c>
      <c r="D64" s="6"/>
      <c r="E64" s="6"/>
      <c r="F64" s="6"/>
      <c r="G64" s="6" t="s">
        <v>32</v>
      </c>
      <c r="H64" s="29">
        <v>1360</v>
      </c>
      <c r="I64" s="30"/>
      <c r="J64" s="29"/>
      <c r="K64" s="29">
        <v>500</v>
      </c>
      <c r="L64" s="29"/>
      <c r="M64" s="29"/>
      <c r="N64" s="29"/>
      <c r="O64" s="6">
        <f t="shared" si="0"/>
        <v>1860</v>
      </c>
    </row>
    <row r="65" spans="1:15">
      <c r="A65" s="13"/>
      <c r="B65" s="7"/>
      <c r="C65" s="6" t="s">
        <v>110</v>
      </c>
      <c r="D65" s="6"/>
      <c r="E65" s="6"/>
      <c r="F65" s="6"/>
      <c r="G65" s="6"/>
      <c r="H65" s="29"/>
      <c r="I65" s="30"/>
      <c r="J65" s="29"/>
      <c r="K65" s="29">
        <v>400</v>
      </c>
      <c r="L65" s="29"/>
      <c r="M65" s="29"/>
      <c r="N65" s="29"/>
      <c r="O65" s="6">
        <f t="shared" si="0"/>
        <v>400</v>
      </c>
    </row>
    <row r="66" spans="1:15">
      <c r="A66" s="13"/>
      <c r="B66" s="7"/>
      <c r="C66" s="15" t="s">
        <v>111</v>
      </c>
      <c r="D66" s="15"/>
      <c r="E66" s="15"/>
      <c r="F66" s="15"/>
      <c r="G66" s="6"/>
      <c r="H66" s="29">
        <v>480</v>
      </c>
      <c r="I66" s="30"/>
      <c r="J66" s="29">
        <v>1400</v>
      </c>
      <c r="K66" s="29">
        <v>1000</v>
      </c>
      <c r="L66" s="29">
        <v>3643</v>
      </c>
      <c r="M66" s="29">
        <v>2200</v>
      </c>
      <c r="N66" s="29">
        <v>800</v>
      </c>
      <c r="O66" s="6">
        <f t="shared" si="0"/>
        <v>9523</v>
      </c>
    </row>
    <row r="67" spans="1:15">
      <c r="A67" s="13"/>
      <c r="B67" s="15" t="s">
        <v>112</v>
      </c>
      <c r="C67" s="15" t="s">
        <v>113</v>
      </c>
      <c r="D67" s="15" t="s">
        <v>114</v>
      </c>
      <c r="E67" s="15"/>
      <c r="F67" s="15"/>
      <c r="G67" s="6" t="s">
        <v>154</v>
      </c>
      <c r="H67" s="29">
        <v>3555</v>
      </c>
      <c r="I67" s="30"/>
      <c r="J67" s="29">
        <v>7848</v>
      </c>
      <c r="K67" s="29">
        <v>14310</v>
      </c>
      <c r="L67" s="29">
        <f>7186+1746</f>
        <v>8932</v>
      </c>
      <c r="M67" s="29">
        <f>7128+3312</f>
        <v>10440</v>
      </c>
      <c r="N67" s="29">
        <v>2322</v>
      </c>
      <c r="O67" s="6">
        <f t="shared" si="0"/>
        <v>47407</v>
      </c>
    </row>
    <row r="68" spans="1:15">
      <c r="A68" s="13"/>
      <c r="B68" s="15"/>
      <c r="C68" s="15" t="s">
        <v>115</v>
      </c>
      <c r="D68" s="15" t="s">
        <v>116</v>
      </c>
      <c r="E68" s="15"/>
      <c r="F68" s="15"/>
      <c r="G68" s="6"/>
      <c r="H68" s="29">
        <v>16601</v>
      </c>
      <c r="I68" s="30"/>
      <c r="J68" s="29">
        <v>33402</v>
      </c>
      <c r="K68" s="29">
        <v>56002</v>
      </c>
      <c r="L68" s="29">
        <f>24935+6607</f>
        <v>31542</v>
      </c>
      <c r="M68" s="29">
        <f>31122+16188</f>
        <v>47310</v>
      </c>
      <c r="N68" s="29">
        <v>10846</v>
      </c>
      <c r="O68" s="6">
        <f t="shared" si="0"/>
        <v>195703</v>
      </c>
    </row>
    <row r="69" spans="1:15">
      <c r="A69" s="13"/>
      <c r="B69" s="15"/>
      <c r="C69" s="15" t="s">
        <v>117</v>
      </c>
      <c r="D69" s="15" t="s">
        <v>118</v>
      </c>
      <c r="E69" s="15"/>
      <c r="F69" s="15"/>
      <c r="G69" s="6"/>
      <c r="H69" s="29"/>
      <c r="I69" s="30"/>
      <c r="J69" s="29">
        <v>27270</v>
      </c>
      <c r="K69" s="29">
        <v>47587</v>
      </c>
      <c r="L69" s="29">
        <v>474690</v>
      </c>
      <c r="M69" s="29">
        <f>25110+12420</f>
        <v>37530</v>
      </c>
      <c r="N69" s="29">
        <v>16721</v>
      </c>
      <c r="O69" s="6">
        <f t="shared" ref="O69:O83" si="3">SUM(H69:N69)</f>
        <v>603798</v>
      </c>
    </row>
    <row r="70" spans="1:15">
      <c r="A70" s="13"/>
      <c r="B70" s="15"/>
      <c r="C70" s="15" t="s">
        <v>119</v>
      </c>
      <c r="D70" s="15"/>
      <c r="E70" s="15"/>
      <c r="F70" s="15"/>
      <c r="G70" s="6"/>
      <c r="H70" s="29">
        <v>2939</v>
      </c>
      <c r="I70" s="30"/>
      <c r="J70" s="29">
        <v>2150</v>
      </c>
      <c r="K70" s="29">
        <v>4132</v>
      </c>
      <c r="L70" s="29">
        <v>71203</v>
      </c>
      <c r="M70" s="29">
        <v>4830</v>
      </c>
      <c r="N70" s="29">
        <v>1680</v>
      </c>
      <c r="O70" s="6">
        <f t="shared" si="3"/>
        <v>86934</v>
      </c>
    </row>
    <row r="71" spans="1:15">
      <c r="A71" s="13"/>
      <c r="B71" s="15"/>
      <c r="C71" s="15" t="s">
        <v>120</v>
      </c>
      <c r="D71" s="15"/>
      <c r="E71" s="15"/>
      <c r="F71" s="15"/>
      <c r="G71" s="6"/>
      <c r="H71" s="29">
        <f t="shared" ref="H71:N71" si="4">SUM(H67:H70)</f>
        <v>23095</v>
      </c>
      <c r="I71" s="30"/>
      <c r="J71" s="29">
        <f t="shared" si="4"/>
        <v>70670</v>
      </c>
      <c r="K71" s="29">
        <f t="shared" si="4"/>
        <v>122031</v>
      </c>
      <c r="L71" s="29">
        <f t="shared" si="4"/>
        <v>586367</v>
      </c>
      <c r="M71" s="29">
        <f t="shared" si="4"/>
        <v>100110</v>
      </c>
      <c r="N71" s="29">
        <f t="shared" si="4"/>
        <v>31569</v>
      </c>
      <c r="O71" s="6">
        <f t="shared" si="3"/>
        <v>933842</v>
      </c>
    </row>
    <row r="72" spans="1:15">
      <c r="A72" s="13"/>
      <c r="B72" s="6" t="s">
        <v>121</v>
      </c>
      <c r="C72" s="15" t="s">
        <v>122</v>
      </c>
      <c r="D72" s="15"/>
      <c r="E72" s="15"/>
      <c r="F72" s="15"/>
      <c r="G72" s="6"/>
      <c r="H72" s="29">
        <f>50203*0.3</f>
        <v>15060.9</v>
      </c>
      <c r="I72" s="30"/>
      <c r="J72" s="29"/>
      <c r="K72" s="29">
        <f>166312*0.3</f>
        <v>49893.6</v>
      </c>
      <c r="L72" s="29">
        <f>154026*0.3</f>
        <v>46207.8</v>
      </c>
      <c r="M72" s="29">
        <f>45200*0.3</f>
        <v>13560</v>
      </c>
      <c r="N72" s="29">
        <f>56563*0.3</f>
        <v>16968.9</v>
      </c>
      <c r="O72" s="6">
        <f t="shared" si="3"/>
        <v>141691.2</v>
      </c>
    </row>
    <row r="73" spans="1:15">
      <c r="A73" s="13"/>
      <c r="B73" s="6"/>
      <c r="C73" s="15" t="s">
        <v>123</v>
      </c>
      <c r="D73" s="15"/>
      <c r="E73" s="15"/>
      <c r="F73" s="15"/>
      <c r="G73" s="6"/>
      <c r="H73" s="29">
        <f>50203*0.7</f>
        <v>35142.1</v>
      </c>
      <c r="I73" s="30"/>
      <c r="J73" s="29"/>
      <c r="K73" s="29">
        <f>166312*0.7</f>
        <v>116418.4</v>
      </c>
      <c r="L73" s="29">
        <f>154026*0.7</f>
        <v>107818.2</v>
      </c>
      <c r="M73" s="29">
        <f>45200*0.7</f>
        <v>31640</v>
      </c>
      <c r="N73" s="29">
        <f>56563*0.7</f>
        <v>39594.1</v>
      </c>
      <c r="O73" s="6">
        <f t="shared" si="3"/>
        <v>330612.8</v>
      </c>
    </row>
    <row r="74" spans="1:15">
      <c r="A74" s="13"/>
      <c r="B74" s="6"/>
      <c r="C74" s="15" t="s">
        <v>124</v>
      </c>
      <c r="D74" s="15"/>
      <c r="E74" s="15"/>
      <c r="F74" s="15"/>
      <c r="G74" s="6"/>
      <c r="H74" s="29">
        <v>2939</v>
      </c>
      <c r="I74" s="30"/>
      <c r="J74" s="29">
        <v>2150</v>
      </c>
      <c r="K74" s="29">
        <v>4132</v>
      </c>
      <c r="L74" s="29">
        <v>71203</v>
      </c>
      <c r="M74" s="29">
        <v>4830</v>
      </c>
      <c r="N74" s="29">
        <v>1680</v>
      </c>
      <c r="O74" s="6">
        <f t="shared" si="3"/>
        <v>86934</v>
      </c>
    </row>
    <row r="75" spans="1:15">
      <c r="A75" s="13"/>
      <c r="B75" s="6"/>
      <c r="C75" s="6" t="s">
        <v>125</v>
      </c>
      <c r="D75" s="6"/>
      <c r="E75" s="6"/>
      <c r="F75" s="6"/>
      <c r="G75" s="6"/>
      <c r="H75" s="29">
        <f t="shared" ref="H75:N75" si="5">SUM(H72:H74)</f>
        <v>53142</v>
      </c>
      <c r="I75" s="30"/>
      <c r="J75" s="29">
        <f t="shared" si="5"/>
        <v>2150</v>
      </c>
      <c r="K75" s="29">
        <f t="shared" si="5"/>
        <v>170444</v>
      </c>
      <c r="L75" s="29">
        <f t="shared" si="5"/>
        <v>225229</v>
      </c>
      <c r="M75" s="29">
        <f t="shared" si="5"/>
        <v>50030</v>
      </c>
      <c r="N75" s="29">
        <f t="shared" si="5"/>
        <v>58243</v>
      </c>
      <c r="O75" s="6">
        <f t="shared" si="3"/>
        <v>559238</v>
      </c>
    </row>
    <row r="76" spans="1:15">
      <c r="A76" s="13"/>
      <c r="B76" s="6" t="s">
        <v>23</v>
      </c>
      <c r="C76" s="6"/>
      <c r="D76" s="6"/>
      <c r="E76" s="6"/>
      <c r="F76" s="6"/>
      <c r="G76" s="6"/>
      <c r="H76" s="29">
        <f t="shared" ref="H76:N76" si="6">H71+H75</f>
        <v>76237</v>
      </c>
      <c r="I76" s="30"/>
      <c r="J76" s="29">
        <f t="shared" si="6"/>
        <v>72820</v>
      </c>
      <c r="K76" s="29">
        <f t="shared" si="6"/>
        <v>292475</v>
      </c>
      <c r="L76" s="29">
        <f t="shared" si="6"/>
        <v>811596</v>
      </c>
      <c r="M76" s="29">
        <f t="shared" si="6"/>
        <v>150140</v>
      </c>
      <c r="N76" s="29">
        <f t="shared" si="6"/>
        <v>89812</v>
      </c>
      <c r="O76" s="6">
        <f t="shared" si="3"/>
        <v>1493080</v>
      </c>
    </row>
    <row r="77" spans="1:15">
      <c r="A77" s="13"/>
      <c r="B77" s="6" t="s">
        <v>126</v>
      </c>
      <c r="C77" s="6"/>
      <c r="D77" s="6"/>
      <c r="E77" s="6"/>
      <c r="F77" s="6"/>
      <c r="G77" s="6" t="s">
        <v>152</v>
      </c>
      <c r="H77" s="29">
        <v>4200</v>
      </c>
      <c r="I77" s="30"/>
      <c r="J77" s="29">
        <v>5600</v>
      </c>
      <c r="K77" s="29">
        <v>5600</v>
      </c>
      <c r="L77" s="29"/>
      <c r="M77" s="29">
        <v>17500</v>
      </c>
      <c r="N77" s="29">
        <v>5600</v>
      </c>
      <c r="O77" s="6">
        <f t="shared" si="3"/>
        <v>38500</v>
      </c>
    </row>
    <row r="78" spans="1:15">
      <c r="A78" s="13"/>
      <c r="B78" s="10" t="s">
        <v>127</v>
      </c>
      <c r="C78" s="10"/>
      <c r="D78" s="10"/>
      <c r="E78" s="10"/>
      <c r="F78" s="37" t="s">
        <v>128</v>
      </c>
      <c r="G78" s="10" t="s">
        <v>35</v>
      </c>
      <c r="H78" s="38"/>
      <c r="I78" s="39"/>
      <c r="J78" s="38"/>
      <c r="K78" s="38"/>
      <c r="L78" s="38">
        <f>2334*3</f>
        <v>7002</v>
      </c>
      <c r="M78" s="38"/>
      <c r="N78" s="38"/>
      <c r="O78" s="6">
        <f t="shared" si="3"/>
        <v>7002</v>
      </c>
    </row>
    <row r="79" spans="1:15">
      <c r="A79" s="13"/>
      <c r="B79" s="10"/>
      <c r="C79" s="10"/>
      <c r="D79" s="10"/>
      <c r="E79" s="10"/>
      <c r="F79" s="37" t="s">
        <v>129</v>
      </c>
      <c r="G79" s="10"/>
      <c r="H79" s="38"/>
      <c r="I79" s="39"/>
      <c r="J79" s="38"/>
      <c r="K79" s="38"/>
      <c r="L79" s="38">
        <f>2334*3</f>
        <v>7002</v>
      </c>
      <c r="M79" s="38"/>
      <c r="N79" s="38"/>
      <c r="O79" s="6">
        <f t="shared" si="3"/>
        <v>7002</v>
      </c>
    </row>
    <row r="80" spans="1:15">
      <c r="A80" s="40" t="s">
        <v>130</v>
      </c>
      <c r="B80" s="10" t="s">
        <v>131</v>
      </c>
      <c r="C80" s="41" t="s">
        <v>132</v>
      </c>
      <c r="D80" s="41"/>
      <c r="E80" s="41"/>
      <c r="F80" s="42"/>
      <c r="G80" s="19" t="s">
        <v>154</v>
      </c>
      <c r="H80" s="43">
        <v>300</v>
      </c>
      <c r="I80" s="19"/>
      <c r="J80" s="19"/>
      <c r="K80" s="19"/>
      <c r="L80" s="19"/>
      <c r="M80" s="19"/>
      <c r="N80" s="19"/>
      <c r="O80" s="6">
        <f t="shared" si="3"/>
        <v>300</v>
      </c>
    </row>
    <row r="81" spans="1:15">
      <c r="A81" s="40"/>
      <c r="B81" s="10"/>
      <c r="C81" s="41" t="s">
        <v>133</v>
      </c>
      <c r="D81" s="41"/>
      <c r="E81" s="41"/>
      <c r="F81" s="42"/>
      <c r="G81" s="19" t="s">
        <v>32</v>
      </c>
      <c r="H81" s="43">
        <v>200</v>
      </c>
      <c r="I81" s="19"/>
      <c r="J81" s="19"/>
      <c r="K81" s="19"/>
      <c r="L81" s="19"/>
      <c r="M81" s="19"/>
      <c r="N81" s="19"/>
      <c r="O81" s="6">
        <f t="shared" si="3"/>
        <v>200</v>
      </c>
    </row>
    <row r="82" spans="1:15">
      <c r="A82" s="40"/>
      <c r="B82" s="10"/>
      <c r="C82" s="41" t="s">
        <v>134</v>
      </c>
      <c r="D82" s="41"/>
      <c r="E82" s="41"/>
      <c r="F82" s="42"/>
      <c r="G82" s="19" t="s">
        <v>154</v>
      </c>
      <c r="H82" s="43">
        <v>172</v>
      </c>
      <c r="I82" s="19"/>
      <c r="J82" s="19"/>
      <c r="K82" s="19"/>
      <c r="L82" s="19"/>
      <c r="M82" s="19"/>
      <c r="N82" s="19"/>
      <c r="O82" s="6">
        <f t="shared" si="3"/>
        <v>172</v>
      </c>
    </row>
    <row r="83" spans="1:15">
      <c r="A83" s="40"/>
      <c r="B83" s="10"/>
      <c r="C83" s="41" t="s">
        <v>135</v>
      </c>
      <c r="D83" s="41"/>
      <c r="E83" s="41"/>
      <c r="F83" s="42"/>
      <c r="G83" s="19" t="s">
        <v>63</v>
      </c>
      <c r="H83" s="43">
        <v>2</v>
      </c>
      <c r="I83" s="19"/>
      <c r="J83" s="19"/>
      <c r="K83" s="19"/>
      <c r="L83" s="19"/>
      <c r="M83" s="19"/>
      <c r="N83" s="19"/>
      <c r="O83" s="6">
        <f t="shared" si="3"/>
        <v>2</v>
      </c>
    </row>
    <row r="84" spans="1:15">
      <c r="A84" s="40"/>
      <c r="B84" s="41" t="s">
        <v>136</v>
      </c>
      <c r="C84" s="44" t="s">
        <v>137</v>
      </c>
      <c r="D84" s="44"/>
      <c r="E84" s="44" t="s">
        <v>138</v>
      </c>
      <c r="F84" s="44"/>
      <c r="G84" s="45" t="s">
        <v>139</v>
      </c>
      <c r="H84" s="45"/>
      <c r="I84" s="45"/>
      <c r="J84" s="46"/>
      <c r="K84" s="45"/>
      <c r="L84" s="45"/>
      <c r="M84" s="45"/>
      <c r="N84" s="45"/>
      <c r="O84" s="45">
        <v>3</v>
      </c>
    </row>
    <row r="85" spans="1:15">
      <c r="A85" s="40"/>
      <c r="B85" s="41"/>
      <c r="C85" s="44"/>
      <c r="D85" s="44"/>
      <c r="E85" s="44" t="s">
        <v>140</v>
      </c>
      <c r="F85" s="44"/>
      <c r="G85" s="45"/>
      <c r="H85" s="45"/>
      <c r="I85" s="45"/>
      <c r="J85" s="46"/>
      <c r="K85" s="45"/>
      <c r="L85" s="45"/>
      <c r="M85" s="45"/>
      <c r="N85" s="45"/>
      <c r="O85" s="45">
        <v>3</v>
      </c>
    </row>
    <row r="86" spans="1:15">
      <c r="A86" s="40"/>
      <c r="B86" s="41"/>
      <c r="C86" s="44" t="s">
        <v>141</v>
      </c>
      <c r="D86" s="44"/>
      <c r="E86" s="44"/>
      <c r="F86" s="44"/>
      <c r="G86" s="45" t="s">
        <v>142</v>
      </c>
      <c r="H86" s="45"/>
      <c r="I86" s="45"/>
      <c r="J86" s="46"/>
      <c r="K86" s="45"/>
      <c r="L86" s="45"/>
      <c r="M86" s="45"/>
      <c r="N86" s="45"/>
      <c r="O86" s="45">
        <v>12</v>
      </c>
    </row>
    <row r="87" spans="1:15">
      <c r="A87" s="40"/>
      <c r="B87" s="41"/>
      <c r="C87" s="44" t="s">
        <v>143</v>
      </c>
      <c r="D87" s="44"/>
      <c r="E87" s="44"/>
      <c r="F87" s="44"/>
      <c r="G87" s="45"/>
      <c r="H87" s="45"/>
      <c r="I87" s="45"/>
      <c r="J87" s="46"/>
      <c r="K87" s="45"/>
      <c r="L87" s="45"/>
      <c r="M87" s="45"/>
      <c r="N87" s="45"/>
      <c r="O87" s="45">
        <v>24</v>
      </c>
    </row>
    <row r="88" spans="1:15">
      <c r="A88" s="40"/>
      <c r="B88" s="41"/>
      <c r="C88" s="44" t="s">
        <v>144</v>
      </c>
      <c r="D88" s="44"/>
      <c r="E88" s="44"/>
      <c r="F88" s="44"/>
      <c r="G88" s="45"/>
      <c r="H88" s="45"/>
      <c r="I88" s="45"/>
      <c r="J88" s="46"/>
      <c r="K88" s="45"/>
      <c r="L88" s="45"/>
      <c r="M88" s="45"/>
      <c r="N88" s="45"/>
      <c r="O88" s="45">
        <v>24</v>
      </c>
    </row>
    <row r="89" spans="1:15">
      <c r="A89" s="40"/>
      <c r="B89" s="41"/>
      <c r="C89" s="44" t="s">
        <v>135</v>
      </c>
      <c r="D89" s="6" t="s">
        <v>46</v>
      </c>
      <c r="E89" s="6" t="s">
        <v>61</v>
      </c>
      <c r="F89" s="6" t="s">
        <v>62</v>
      </c>
      <c r="G89" s="45"/>
      <c r="H89" s="45"/>
      <c r="I89" s="45"/>
      <c r="J89" s="46"/>
      <c r="K89" s="45"/>
      <c r="L89" s="45"/>
      <c r="M89" s="45"/>
      <c r="N89" s="45"/>
      <c r="O89" s="45"/>
    </row>
    <row r="90" spans="1:15">
      <c r="A90" s="40"/>
      <c r="B90" s="41"/>
      <c r="C90" s="44"/>
      <c r="D90" s="6" t="s">
        <v>46</v>
      </c>
      <c r="E90" s="6" t="s">
        <v>64</v>
      </c>
      <c r="F90" s="6" t="s">
        <v>65</v>
      </c>
      <c r="G90" s="45"/>
      <c r="H90" s="45"/>
      <c r="I90" s="45"/>
      <c r="J90" s="46"/>
      <c r="K90" s="45"/>
      <c r="L90" s="45"/>
      <c r="M90" s="45"/>
      <c r="N90" s="45"/>
      <c r="O90" s="45"/>
    </row>
    <row r="91" spans="1:15">
      <c r="A91" s="40"/>
      <c r="B91" s="41"/>
      <c r="C91" s="44"/>
      <c r="D91" s="6" t="s">
        <v>145</v>
      </c>
      <c r="E91" s="6"/>
      <c r="F91" s="6"/>
      <c r="G91" s="45"/>
      <c r="H91" s="45"/>
      <c r="I91" s="45"/>
      <c r="J91" s="46"/>
      <c r="K91" s="45"/>
      <c r="L91" s="45"/>
      <c r="M91" s="45"/>
      <c r="N91" s="45"/>
      <c r="O91" s="47">
        <v>1</v>
      </c>
    </row>
    <row r="92" spans="1:15">
      <c r="A92" s="40"/>
      <c r="B92" s="41"/>
      <c r="C92" s="44"/>
      <c r="D92" s="6" t="s">
        <v>46</v>
      </c>
      <c r="E92" s="6" t="s">
        <v>64</v>
      </c>
      <c r="F92" s="6" t="s">
        <v>67</v>
      </c>
      <c r="G92" s="48"/>
      <c r="H92" s="48"/>
      <c r="I92" s="48"/>
      <c r="J92" s="46"/>
      <c r="K92" s="48"/>
      <c r="L92" s="48"/>
      <c r="M92" s="48"/>
      <c r="N92" s="48"/>
      <c r="O92" s="49">
        <v>2</v>
      </c>
    </row>
    <row r="93" spans="1:15">
      <c r="A93" s="40"/>
      <c r="B93" s="41"/>
      <c r="C93" s="44"/>
      <c r="D93" s="6" t="s">
        <v>52</v>
      </c>
      <c r="E93" s="6" t="s">
        <v>68</v>
      </c>
      <c r="F93" s="6" t="s">
        <v>69</v>
      </c>
      <c r="G93" s="48"/>
      <c r="H93" s="48"/>
      <c r="I93" s="48"/>
      <c r="J93" s="46"/>
      <c r="K93" s="48"/>
      <c r="L93" s="48"/>
      <c r="M93" s="48"/>
      <c r="N93" s="48"/>
      <c r="O93" s="49">
        <v>2</v>
      </c>
    </row>
    <row r="94" spans="1:15">
      <c r="A94" s="40"/>
      <c r="B94" s="41"/>
      <c r="C94" s="48" t="s">
        <v>146</v>
      </c>
      <c r="D94" s="48"/>
      <c r="E94" s="48"/>
      <c r="F94" s="48"/>
      <c r="G94" s="48" t="s">
        <v>63</v>
      </c>
      <c r="H94" s="48"/>
      <c r="I94" s="48"/>
      <c r="J94" s="46"/>
      <c r="K94" s="48"/>
      <c r="L94" s="48"/>
      <c r="M94" s="48"/>
      <c r="N94" s="48"/>
      <c r="O94" s="49">
        <v>12</v>
      </c>
    </row>
    <row r="95" spans="1:15">
      <c r="A95" s="40"/>
      <c r="B95" s="41"/>
      <c r="C95" s="48" t="s">
        <v>147</v>
      </c>
      <c r="D95" s="48"/>
      <c r="E95" s="48"/>
      <c r="F95" s="48"/>
      <c r="G95" s="48"/>
      <c r="H95" s="48"/>
      <c r="I95" s="48"/>
      <c r="J95" s="46"/>
      <c r="K95" s="48"/>
      <c r="L95" s="48"/>
      <c r="M95" s="48"/>
      <c r="N95" s="48"/>
      <c r="O95" s="49"/>
    </row>
    <row r="96" spans="1:15">
      <c r="A96" s="40"/>
      <c r="B96" s="41"/>
      <c r="C96" s="48" t="s">
        <v>148</v>
      </c>
      <c r="D96" s="48"/>
      <c r="E96" s="48"/>
      <c r="F96" s="48"/>
      <c r="G96" s="50" t="s">
        <v>142</v>
      </c>
      <c r="H96" s="46"/>
      <c r="I96" s="46"/>
      <c r="J96" s="46"/>
      <c r="K96" s="46"/>
      <c r="L96" s="46"/>
      <c r="M96" s="46"/>
      <c r="N96" s="46"/>
      <c r="O96" s="49">
        <v>24</v>
      </c>
    </row>
    <row r="97" spans="1:15">
      <c r="A97" s="40"/>
      <c r="B97" s="41"/>
      <c r="C97" s="48" t="s">
        <v>149</v>
      </c>
      <c r="D97" s="48"/>
      <c r="E97" s="48"/>
      <c r="F97" s="48"/>
      <c r="G97" s="50"/>
      <c r="H97" s="46"/>
      <c r="I97" s="46"/>
      <c r="J97" s="46"/>
      <c r="K97" s="46"/>
      <c r="L97" s="46"/>
      <c r="M97" s="46"/>
      <c r="N97" s="46"/>
      <c r="O97" s="49">
        <v>1</v>
      </c>
    </row>
  </sheetData>
  <mergeCells count="147">
    <mergeCell ref="A1:O1"/>
    <mergeCell ref="A2:G2"/>
    <mergeCell ref="H2:O2"/>
    <mergeCell ref="A3:G3"/>
    <mergeCell ref="A4:F4"/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E17:F17"/>
    <mergeCell ref="E18:F18"/>
    <mergeCell ref="E19:F19"/>
    <mergeCell ref="C20:F20"/>
    <mergeCell ref="C21:F21"/>
    <mergeCell ref="C22:F22"/>
    <mergeCell ref="C23:F23"/>
    <mergeCell ref="B24:F24"/>
    <mergeCell ref="B25:F25"/>
    <mergeCell ref="E26:F26"/>
    <mergeCell ref="E27:F27"/>
    <mergeCell ref="E28:F28"/>
    <mergeCell ref="E29:F29"/>
    <mergeCell ref="E30:F30"/>
    <mergeCell ref="E31:F31"/>
    <mergeCell ref="C32:F32"/>
    <mergeCell ref="C33:F33"/>
    <mergeCell ref="E34:F34"/>
    <mergeCell ref="D35:F35"/>
    <mergeCell ref="D36:F36"/>
    <mergeCell ref="C37:F37"/>
    <mergeCell ref="D40:F40"/>
    <mergeCell ref="D43:F43"/>
    <mergeCell ref="D44:F44"/>
    <mergeCell ref="D45:F45"/>
    <mergeCell ref="B46:F46"/>
    <mergeCell ref="C47:F47"/>
    <mergeCell ref="C48:F48"/>
    <mergeCell ref="C49:F49"/>
    <mergeCell ref="C50:F50"/>
    <mergeCell ref="C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C63:F63"/>
    <mergeCell ref="C64:F64"/>
    <mergeCell ref="C65:F65"/>
    <mergeCell ref="C66:F66"/>
    <mergeCell ref="D67:F67"/>
    <mergeCell ref="D68:F68"/>
    <mergeCell ref="D69:F69"/>
    <mergeCell ref="C70:F70"/>
    <mergeCell ref="C71:F71"/>
    <mergeCell ref="C72:F72"/>
    <mergeCell ref="C73:F73"/>
    <mergeCell ref="C74:F74"/>
    <mergeCell ref="C75:F75"/>
    <mergeCell ref="B76:F76"/>
    <mergeCell ref="B77:F77"/>
    <mergeCell ref="C80:F80"/>
    <mergeCell ref="C81:F81"/>
    <mergeCell ref="C82:F82"/>
    <mergeCell ref="C83:F83"/>
    <mergeCell ref="E84:F84"/>
    <mergeCell ref="E85:F85"/>
    <mergeCell ref="C86:F86"/>
    <mergeCell ref="C87:F87"/>
    <mergeCell ref="C88:F88"/>
    <mergeCell ref="D91:F91"/>
    <mergeCell ref="C94:F94"/>
    <mergeCell ref="C95:F95"/>
    <mergeCell ref="C96:F96"/>
    <mergeCell ref="C97:F97"/>
    <mergeCell ref="A5:A25"/>
    <mergeCell ref="A26:A60"/>
    <mergeCell ref="A61:A79"/>
    <mergeCell ref="A80:A97"/>
    <mergeCell ref="B6:B11"/>
    <mergeCell ref="B12:B13"/>
    <mergeCell ref="B14:B15"/>
    <mergeCell ref="B16:B19"/>
    <mergeCell ref="B20:B23"/>
    <mergeCell ref="B26:B45"/>
    <mergeCell ref="B47:B51"/>
    <mergeCell ref="B52:B60"/>
    <mergeCell ref="B61:B62"/>
    <mergeCell ref="B64:B66"/>
    <mergeCell ref="B67:B71"/>
    <mergeCell ref="B72:B75"/>
    <mergeCell ref="B80:B83"/>
    <mergeCell ref="B84:B97"/>
    <mergeCell ref="C26:C27"/>
    <mergeCell ref="C28:C31"/>
    <mergeCell ref="C35:C36"/>
    <mergeCell ref="C38:C42"/>
    <mergeCell ref="C43:C45"/>
    <mergeCell ref="C52:C53"/>
    <mergeCell ref="C59:C60"/>
    <mergeCell ref="C89:C93"/>
    <mergeCell ref="D26:D27"/>
    <mergeCell ref="D28:D29"/>
    <mergeCell ref="D30:D31"/>
    <mergeCell ref="G5:G13"/>
    <mergeCell ref="G14:G15"/>
    <mergeCell ref="G17:G24"/>
    <mergeCell ref="G26:G32"/>
    <mergeCell ref="G35:G37"/>
    <mergeCell ref="G38:G42"/>
    <mergeCell ref="G44:G45"/>
    <mergeCell ref="G47:G51"/>
    <mergeCell ref="G52:G53"/>
    <mergeCell ref="G54:G55"/>
    <mergeCell ref="G61:G62"/>
    <mergeCell ref="G64:G66"/>
    <mergeCell ref="G67:G76"/>
    <mergeCell ref="G78:G79"/>
    <mergeCell ref="G84:G85"/>
    <mergeCell ref="G86:G88"/>
    <mergeCell ref="G89:G91"/>
    <mergeCell ref="G94:G95"/>
    <mergeCell ref="G96:G97"/>
    <mergeCell ref="H3:H4"/>
    <mergeCell ref="I3:I4"/>
    <mergeCell ref="J3:J4"/>
    <mergeCell ref="K3:K4"/>
    <mergeCell ref="L3:L4"/>
    <mergeCell ref="M3:M4"/>
    <mergeCell ref="N3:N4"/>
    <mergeCell ref="O3:O4"/>
    <mergeCell ref="B78:E79"/>
    <mergeCell ref="C84:D85"/>
    <mergeCell ref="C17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1.沿既有通道双单线</vt:lpstr>
      <vt:lpstr>2.新开通道双单线</vt:lpstr>
      <vt:lpstr>3.复线电气化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李媛媛</dc:creator>
  <cp:lastModifiedBy>不止</cp:lastModifiedBy>
  <dcterms:created xsi:type="dcterms:W3CDTF">2026-06-23T06:06:00Z</dcterms:created>
  <dcterms:modified xsi:type="dcterms:W3CDTF">2026-06-27T07:05:51Z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84CC5B2FE9DB4759B617B9356A4E5C9E_13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